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220700DD-4CF3-4C83-8B59-837E91F29C19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Guidleline" sheetId="1" r:id="rId1"/>
    <sheet name="Cover" sheetId="2" r:id="rId2"/>
    <sheet name="FunctionList" sheetId="3" r:id="rId3"/>
    <sheet name="Test Report" sheetId="4" r:id="rId4"/>
    <sheet name="Mentor_Application" sheetId="5" r:id="rId5"/>
    <sheet name="Availability_Schedule" sheetId="6" r:id="rId6"/>
    <sheet name="Profile_Management" sheetId="7" r:id="rId7"/>
    <sheet name="Package_Management" sheetId="8" r:id="rId8"/>
    <sheet name="Dashboard_Overview" sheetId="9" r:id="rId9"/>
    <sheet name="Request_Approval" sheetId="10" r:id="rId10"/>
    <sheet name="Workspace_Management" sheetId="11" r:id="rId11"/>
    <sheet name="Wallet_Payout" sheetId="12" r:id="rId12"/>
    <sheet name="Review_Feedback" sheetId="13" r:id="rId13"/>
  </sheets>
  <externalReferences>
    <externalReference r:id="rId14"/>
  </externalReferences>
  <definedNames>
    <definedName name="_xlnm._FilterDatabase">Workspace_Management!$F$9:$S$46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" i="13" l="1"/>
  <c r="F7" i="13" s="1"/>
  <c r="E20" i="4" s="1"/>
  <c r="N7" i="13"/>
  <c r="H20" i="4" s="1"/>
  <c r="M7" i="13"/>
  <c r="G20" i="4" s="1"/>
  <c r="L7" i="13"/>
  <c r="C7" i="13"/>
  <c r="A7" i="13"/>
  <c r="L2" i="13"/>
  <c r="O7" i="12"/>
  <c r="F7" i="12" s="1"/>
  <c r="E19" i="4" s="1"/>
  <c r="N7" i="12"/>
  <c r="M7" i="12"/>
  <c r="L7" i="12"/>
  <c r="C7" i="12"/>
  <c r="D19" i="4" s="1"/>
  <c r="A7" i="12"/>
  <c r="C19" i="4" s="1"/>
  <c r="L2" i="12"/>
  <c r="O7" i="11"/>
  <c r="L4" i="11" s="1"/>
  <c r="N7" i="11"/>
  <c r="M7" i="11"/>
  <c r="L7" i="11"/>
  <c r="C7" i="11"/>
  <c r="A7" i="11"/>
  <c r="L2" i="11"/>
  <c r="O7" i="10"/>
  <c r="F7" i="10" s="1"/>
  <c r="E17" i="4" s="1"/>
  <c r="N7" i="10"/>
  <c r="M7" i="10"/>
  <c r="G17" i="4" s="1"/>
  <c r="L7" i="10"/>
  <c r="C7" i="10"/>
  <c r="A7" i="10"/>
  <c r="L2" i="10"/>
  <c r="O7" i="9"/>
  <c r="F7" i="9" s="1"/>
  <c r="E16" i="4" s="1"/>
  <c r="N7" i="9"/>
  <c r="M7" i="9"/>
  <c r="G16" i="4" s="1"/>
  <c r="L7" i="9"/>
  <c r="F16" i="4" s="1"/>
  <c r="F21" i="4" s="1"/>
  <c r="P37" i="4" s="1"/>
  <c r="C7" i="9"/>
  <c r="D16" i="4" s="1"/>
  <c r="A7" i="9"/>
  <c r="C16" i="4" s="1"/>
  <c r="L2" i="9"/>
  <c r="O7" i="8"/>
  <c r="F7" i="8" s="1"/>
  <c r="E15" i="4" s="1"/>
  <c r="N7" i="8"/>
  <c r="M7" i="8"/>
  <c r="L7" i="8"/>
  <c r="C7" i="8"/>
  <c r="D15" i="4" s="1"/>
  <c r="A7" i="8"/>
  <c r="C15" i="4" s="1"/>
  <c r="L2" i="8"/>
  <c r="O7" i="7"/>
  <c r="L4" i="7" s="1"/>
  <c r="N7" i="7"/>
  <c r="H14" i="4" s="1"/>
  <c r="M7" i="7"/>
  <c r="G14" i="4" s="1"/>
  <c r="L7" i="7"/>
  <c r="C7" i="7"/>
  <c r="A7" i="7"/>
  <c r="L2" i="7"/>
  <c r="O7" i="6"/>
  <c r="F7" i="6" s="1"/>
  <c r="E13" i="4" s="1"/>
  <c r="N7" i="6"/>
  <c r="M7" i="6"/>
  <c r="G13" i="4" s="1"/>
  <c r="L7" i="6"/>
  <c r="C7" i="6"/>
  <c r="D13" i="4" s="1"/>
  <c r="A7" i="6"/>
  <c r="C13" i="4" s="1"/>
  <c r="L2" i="6"/>
  <c r="O7" i="5"/>
  <c r="I12" i="4" s="1"/>
  <c r="N7" i="5"/>
  <c r="M7" i="5"/>
  <c r="L7" i="5"/>
  <c r="C7" i="5"/>
  <c r="D12" i="4" s="1"/>
  <c r="D21" i="4" s="1"/>
  <c r="P32" i="4" s="1"/>
  <c r="A7" i="5"/>
  <c r="C12" i="4" s="1"/>
  <c r="C21" i="4" s="1"/>
  <c r="P31" i="4" s="1"/>
  <c r="L2" i="5"/>
  <c r="F20" i="4"/>
  <c r="D20" i="4"/>
  <c r="C20" i="4"/>
  <c r="B20" i="4"/>
  <c r="I19" i="4"/>
  <c r="H19" i="4"/>
  <c r="G19" i="4"/>
  <c r="F19" i="4"/>
  <c r="B19" i="4"/>
  <c r="I18" i="4"/>
  <c r="H18" i="4"/>
  <c r="G18" i="4"/>
  <c r="F18" i="4"/>
  <c r="D18" i="4"/>
  <c r="C18" i="4"/>
  <c r="B18" i="4"/>
  <c r="I17" i="4"/>
  <c r="H17" i="4"/>
  <c r="F17" i="4"/>
  <c r="D17" i="4"/>
  <c r="C17" i="4"/>
  <c r="B17" i="4"/>
  <c r="H16" i="4"/>
  <c r="B16" i="4"/>
  <c r="H15" i="4"/>
  <c r="G15" i="4"/>
  <c r="F15" i="4"/>
  <c r="B15" i="4"/>
  <c r="I14" i="4"/>
  <c r="F14" i="4"/>
  <c r="D14" i="4"/>
  <c r="C14" i="4"/>
  <c r="B14" i="4"/>
  <c r="I13" i="4"/>
  <c r="H13" i="4"/>
  <c r="F13" i="4"/>
  <c r="B13" i="4"/>
  <c r="H12" i="4"/>
  <c r="G12" i="4"/>
  <c r="G21" i="4" s="1"/>
  <c r="P38" i="4" s="1"/>
  <c r="F12" i="4"/>
  <c r="B12" i="4"/>
  <c r="H21" i="4" l="1"/>
  <c r="P39" i="4" s="1"/>
  <c r="Q39" i="4" s="1"/>
  <c r="Q38" i="4"/>
  <c r="L4" i="6"/>
  <c r="F7" i="7"/>
  <c r="E14" i="4" s="1"/>
  <c r="L4" i="10"/>
  <c r="F7" i="11"/>
  <c r="E18" i="4" s="1"/>
  <c r="I20" i="4"/>
  <c r="L4" i="5"/>
  <c r="L4" i="9"/>
  <c r="L4" i="13"/>
  <c r="I16" i="4"/>
  <c r="F7" i="5"/>
  <c r="E12" i="4" s="1"/>
  <c r="L4" i="8"/>
  <c r="L4" i="12"/>
  <c r="I15" i="4"/>
  <c r="I21" i="4" s="1"/>
  <c r="D22" i="4" l="1"/>
  <c r="D26" i="4"/>
  <c r="D23" i="4"/>
  <c r="D25" i="4"/>
  <c r="D24" i="4"/>
  <c r="E21" i="4"/>
  <c r="P33" i="4" s="1"/>
  <c r="Q37" i="4"/>
  <c r="Q33" i="4" l="1"/>
  <c r="Q32" i="4"/>
  <c r="Q31" i="4"/>
</calcChain>
</file>

<file path=xl/sharedStrings.xml><?xml version="1.0" encoding="utf-8"?>
<sst xmlns="http://schemas.openxmlformats.org/spreadsheetml/2006/main" count="3109" uniqueCount="975">
  <si>
    <t>Guideline to make and understand Unit Test Case</t>
  </si>
  <si>
    <t>1. Overview</t>
  </si>
  <si>
    <t xml:space="preserve"> - In the template, Unit test cases are based on functions. Each sheet presents test cases for one function.</t>
  </si>
  <si>
    <t xml:space="preserve"> - Cover: General information of the project and Unit Test cases</t>
  </si>
  <si>
    <t xml:space="preserve"> - FunctionList: The list of Classes and Functions in the document. 
     + To control that the number of Unit TC meets customer's requirement or the norm, user should fill value for  
     'Normal number of Test cases/KLOC'. </t>
  </si>
  <si>
    <t xml:space="preserve">     + Click on Function link to open the related Test cases of the function.  
     Note: You should create new Function sheet before creating the link</t>
  </si>
  <si>
    <t xml:space="preserve"> - Test Report: provive the overview results of Functions Unit test: Test coverage, Test successful coverage 
    (Summary, for normal/abnormal/boundary cases)</t>
  </si>
  <si>
    <t xml:space="preserve">     Note:  Should check the formula of "Sub Total" if you add more functions</t>
  </si>
  <si>
    <t>2. Content in Test function sheet</t>
  </si>
  <si>
    <t>2.1 Combination of test cases.</t>
  </si>
  <si>
    <t xml:space="preserve"> - To verify that number of Unit TC meets customer's requirement or not. User has to fill number LOC of tested function and fill value of 'Normal number test cases/KLOC' item in FunctionList sheet, which is required by customer or normal value. The number of lacked TC is shown in 'Lack of test cases' item.</t>
  </si>
  <si>
    <t xml:space="preserve"> - If the number of Unit TC does not meet the requirement, creator should explain the reasons.</t>
  </si>
  <si>
    <t xml:space="preserve"> - If the number of  'Normal number test cases/KLOC' item in FunctionList sheet is not recorded, the number in 'Lack of test cases' is not calculated.</t>
  </si>
  <si>
    <t xml:space="preserve"> 2.2 Condition and confirmation of Test cases.</t>
  </si>
  <si>
    <t xml:space="preserve"> Each test case is the combination of condition and confirmation.</t>
  </si>
  <si>
    <t>a. Condition:</t>
  </si>
  <si>
    <t xml:space="preserve">        - Condition is combination of precondition and values of inputs.</t>
  </si>
  <si>
    <t xml:space="preserve">        - Precondition: it is setting condition that must exist before execution of the test case. 
                    Example: file A is precondition for the test case that needs to access file A.</t>
  </si>
  <si>
    <t xml:space="preserve">        - Values of inputs: it includes 3 types of values: normal, boundary and abnormal.</t>
  </si>
  <si>
    <t xml:space="preserve">                . Normal values are values of inputs used mainly and usually to ensure the function works.</t>
  </si>
  <si>
    <t xml:space="preserve">                . Boundary values are limited values that contain upper and lower values.</t>
  </si>
  <si>
    <t xml:space="preserve">                . Abnormal values are non-expected values. And normally it processes exception cases.   </t>
  </si>
  <si>
    <t xml:space="preserve"> </t>
  </si>
  <si>
    <t xml:space="preserve">        - For examples:</t>
  </si>
  <si>
    <t xml:space="preserve">            Input value belongs to 5&lt;= input &lt;=10.</t>
  </si>
  <si>
    <t xml:space="preserve">               . 6,7,8,9 are normal values.</t>
  </si>
  <si>
    <t xml:space="preserve">               . 5, 10 are boundary values.</t>
  </si>
  <si>
    <t xml:space="preserve">               . -1, 11,... are abnormal values.   </t>
  </si>
  <si>
    <t xml:space="preserve">b. Confirmation: </t>
  </si>
  <si>
    <t xml:space="preserve">        - It is combination of expected result to check output of each function. 
          If the results are the same with confirmation, the test case is passed, other case it is failed. </t>
  </si>
  <si>
    <t xml:space="preserve">        - Confirmation can include:</t>
  </si>
  <si>
    <t xml:space="preserve">                + Output result of the function.</t>
  </si>
  <si>
    <t xml:space="preserve">                + Output log messages in log file.</t>
  </si>
  <si>
    <t xml:space="preserve">                + Output screen message...</t>
  </si>
  <si>
    <t>c. Type of test cases and result:</t>
  </si>
  <si>
    <t xml:space="preserve">        - Type of test case: It includes normal, boundary and abnormal test cases. User selects the type based on the type of input data.</t>
  </si>
  <si>
    <t xml:space="preserve">        - Test case result: the actual output results comparing with the Confirmation.
                 P for Passed and F for Failed cases.
          It can 'OK' or 'NG' (it depends on habit of the teams or customers)</t>
  </si>
  <si>
    <t xml:space="preserve"> 2.3. Other items:</t>
  </si>
  <si>
    <t xml:space="preserve"> - Function Code: it is ID of the function and updated automatically according to FunctionList sheet.</t>
  </si>
  <si>
    <t xml:space="preserve"> - Function Name: it is name  of the function and updated automatically according to FunctionList sheet.</t>
  </si>
  <si>
    <t xml:space="preserve"> - Created By: Name of creator.</t>
  </si>
  <si>
    <t xml:space="preserve"> - Executed By: Name of person who executes the unit test</t>
  </si>
  <si>
    <t xml:space="preserve"> - Lines of code: Number of Code line of the function.</t>
  </si>
  <si>
    <t xml:space="preserve"> - Test requirement: Brief description about requirements which are tested in this function, it is not mandatory.</t>
  </si>
  <si>
    <t xml:space="preserve">         </t>
  </si>
  <si>
    <t>UNIT TEST CASE</t>
  </si>
  <si>
    <t>Project Name</t>
  </si>
  <si>
    <t>HappyProgramming Mentorship System</t>
  </si>
  <si>
    <t>Creator</t>
  </si>
  <si>
    <t>Nguyen Bao Trung</t>
  </si>
  <si>
    <t>Project Code</t>
  </si>
  <si>
    <t>HPMS</t>
  </si>
  <si>
    <t>Reviewer/Approver</t>
  </si>
  <si>
    <t>Document Code</t>
  </si>
  <si>
    <t>HPMS_MENTOR_UTC_v1.0</t>
  </si>
  <si>
    <t>Issue Date</t>
  </si>
  <si>
    <t>Version</t>
  </si>
  <si>
    <t>1.0</t>
  </si>
  <si>
    <t>Record of change</t>
  </si>
  <si>
    <t>Effective Date</t>
  </si>
  <si>
    <t>Change Item</t>
  </si>
  <si>
    <t>*A,D,M</t>
  </si>
  <si>
    <t>Change description</t>
  </si>
  <si>
    <t>Reference</t>
  </si>
  <si>
    <t>Mentor unit test template</t>
  </si>
  <si>
    <t>M</t>
  </si>
  <si>
    <t>Recreated the Mentor report using the Admin workbook layout.</t>
  </si>
  <si>
    <t>Unit_TestCase_Admin_HPMS.xlsx / Mentor unit test sources</t>
  </si>
  <si>
    <t>Execution status</t>
  </si>
  <si>
    <t>Test design, not an execution record. All result/date/defect fields are blank until each case is executed. Earlier suite totals do not prove these individual cases passed.</t>
  </si>
  <si>
    <t>UNIT TEST CASE LIST</t>
  </si>
  <si>
    <t>HappyProgramming Mentorship System - Mentor Role</t>
  </si>
  <si>
    <t xml:space="preserve">Normal number of Test cases/KLOC </t>
  </si>
  <si>
    <t>Test Environment Setup Description</t>
  </si>
  <si>
    <t>1. Backend: Spring Boot 3.5 / Java 17, mvnw -o test (JUnit5 + Mockito)
2. Frontend: Vite + Vanilla JS, node --test
3. Database: SQL Server localhost,1433 (HappyProgramming)
4. Conditional integration tests gated by hpms.dashboard.integration / DB_PASSWORD</t>
  </si>
  <si>
    <t>No</t>
  </si>
  <si>
    <t>Requirement
Name</t>
  </si>
  <si>
    <t>Class Name</t>
  </si>
  <si>
    <t>Function Name</t>
  </si>
  <si>
    <t xml:space="preserve"> Function Code(Optional)</t>
  </si>
  <si>
    <t>Sheet Name</t>
  </si>
  <si>
    <t>Description</t>
  </si>
  <si>
    <t>Pre-Condition</t>
  </si>
  <si>
    <t>Register as Mentor and submit CV / qualification certificates</t>
  </si>
  <si>
    <t>Mentor_Application</t>
  </si>
  <si>
    <t>See the per-case source map in the evidence document</t>
  </si>
  <si>
    <t>MTR_APPLICATION</t>
  </si>
  <si>
    <t>SRS trace: UC15. UC15: active registered account and no pending application; required biography/experience/skills; PDF under 10 MB; application becomes PENDING and enters Staff review queue.</t>
  </si>
  <si>
    <t>Registered active account; no pending mentor application. Active skill exists; CV/certificates must be PDF files under 10 MB.</t>
  </si>
  <si>
    <t>Publish availability and prevent conflicting slot reservations</t>
  </si>
  <si>
    <t>Availability_Schedule</t>
  </si>
  <si>
    <t>MTR_AVAILABILITY</t>
  </si>
  <si>
    <t>SRS trace: No dedicated UC. SRS booking rules: validate Mentor availability, prevent overlapping bookings, reserve selected slots temporarily for 10 minutes, release expired/replaced holds, and recheck before confirmation.</t>
  </si>
  <si>
    <t>Authenticated active Mentor; valid future availability. Slot holds expire after 10 minutes and overlapping confirmed reservations are forbidden.</t>
  </si>
  <si>
    <t>Manage profile, biography, experience, links and teaching skills</t>
  </si>
  <si>
    <t>Profile_Management</t>
  </si>
  <si>
    <t>MTR_PROFILE</t>
  </si>
  <si>
    <t>SRS trace: UC13 / UC11. UC13: active authenticated Mentor edits profile; bio length 50–1,000 characters and avatar JPG/PNG under 5 MB. UC11: only active Staff-approved skills; at least one skill must remain selected.</t>
  </si>
  <si>
    <t>Authenticated active Mentor. Teaching-skill catalog is configured and only active skills can be selected.</t>
  </si>
  <si>
    <t>Manage mentor service offerings and selected package price</t>
  </si>
  <si>
    <t>Package_Management</t>
  </si>
  <si>
    <t>MTR_PACKAGES</t>
  </si>
  <si>
    <t>SRS trace: No dedicated UC. SRS UC20 allows a Mentee to select an available package. Mentor package administration is an implemented feature; selection must preserve the chosen active offering and its price snapshot.</t>
  </si>
  <si>
    <t>Authenticated active Mentor with service-offering records; public selection is limited to active offerings.</t>
  </si>
  <si>
    <t>View mentor request, notice, rating and earnings overview</t>
  </si>
  <si>
    <t>Dashboard_Overview</t>
  </si>
  <si>
    <t>MTR_DASHBOARD</t>
  </si>
  <si>
    <t>SRS trace: No dedicated UC. SRS Mentor overview: real-time net earnings, pending escrow, average rating, incoming requests and 48-hour response SLA. Dashboard itself has no dedicated UC number.</t>
  </si>
  <si>
    <t>Authenticated active Mentor; repository fixtures provide mentor-scoped request, notice, rating and earnings data.</t>
  </si>
  <si>
    <t>View and accept or reject pending mentorship requests</t>
  </si>
  <si>
    <t>Request_Approval</t>
  </si>
  <si>
    <t>MTR_REQUESTS</t>
  </si>
  <si>
    <t>SRS trace: UC26. UC26: only PENDING owned requests may be accepted/rejected within 48 hours; decision notifies Mentee. Acceptance unlocks payment only; it does not activate mentorship or create escrow before verified payment.</t>
  </si>
  <si>
    <t>Authenticated Mentor owns the request; monthly request is PENDING and within the 48-hour response window.</t>
  </si>
  <si>
    <t>Access active mentorship workspace, messages and files</t>
  </si>
  <si>
    <t>Workspace_Management</t>
  </si>
  <si>
    <t>MTR_WORKSPACE</t>
  </si>
  <si>
    <t>SRS trace: UC32–33. SRS UC32–33: workspace/session access follows confirmed paid booking. Only authorized Mentee/Mentor members access messages, files and meeting links.</t>
  </si>
  <si>
    <t>Authenticated member of a paid active mentorship or confirmed booking; access is scoped to workspace membership.</t>
  </si>
  <si>
    <t>Review wallet and request OTP-protected payout</t>
  </si>
  <si>
    <t>Wallet_Payout</t>
  </si>
  <si>
    <t>MTR_WALLET</t>
  </si>
  <si>
    <t>SRS trace: No dedicated UC. No dedicated Mentor wallet/payout UC in supplied SRS. Project rules: verified mentor earnings are held seven days; only available unreserved balance can be requested; OTP and saved destination are required. Admin executes payout externally.</t>
  </si>
  <si>
    <t>Authenticated Mentor; verified earnings respect the seven-day hold; bank destination and valid OTP are required for withdrawal.</t>
  </si>
  <si>
    <t>View net earnings, rating summary and mentee feedback</t>
  </si>
  <si>
    <t>Review_Feedback</t>
  </si>
  <si>
    <t>MTR_REVIEWS</t>
  </si>
  <si>
    <t>SRS trace: UC28 / UC35. UC28: show net revenue after commission, pending escrow and mentee feedback. UC35: Mentor views received ratings/comments. Only completed bookings can be rated; refunded/cancelled trial sessions are excluded from net earnings.</t>
  </si>
  <si>
    <t>Authenticated Mentor with active profile; reviews are eligible/published and feedback is limited to completed bookings.</t>
  </si>
  <si>
    <t>N/A - Availability &amp; Slot Management (BR-10/BR-11)</t>
  </si>
  <si>
    <t>MentorAvailabilityControllerTest</t>
  </si>
  <si>
    <t>createSlotReturnsCreated</t>
  </si>
  <si>
    <t>FUNC_MENTOR_AVAILABILITY</t>
  </si>
  <si>
    <t>02_MentorAvailabilityCtrl</t>
  </si>
  <si>
    <t>create slot returns created</t>
  </si>
  <si>
    <t>Mentor authenticated; Spring context / mocked beans wired</t>
  </si>
  <si>
    <t>createSlotRejectsMissingStart</t>
  </si>
  <si>
    <t>create slot rejects missing start</t>
  </si>
  <si>
    <t>deleteSlotReturnsOk</t>
  </si>
  <si>
    <t>delete slot returns ok</t>
  </si>
  <si>
    <t>getMentorAvailabilityReturnsPublicSlots</t>
  </si>
  <si>
    <t>get mentor availability returns public slots</t>
  </si>
  <si>
    <t>holdSlotReturnsCreated</t>
  </si>
  <si>
    <t>hold slot returns created</t>
  </si>
  <si>
    <t>holdSlotRejectsMissingFields</t>
  </si>
  <si>
    <t>hold slot rejects missing fields</t>
  </si>
  <si>
    <t>releaseSlotReturnsOk</t>
  </si>
  <si>
    <t>release slot returns ok</t>
  </si>
  <si>
    <t>UC08/UC09 - View Mentor List / Search-Filter (public discovery)</t>
  </si>
  <si>
    <t>MentorControllerTest</t>
  </si>
  <si>
    <t>shouldReturnFeaturedMentors</t>
  </si>
  <si>
    <t>FUNC_MENTOR_DISCOVERY</t>
  </si>
  <si>
    <t>03_MentorCtrl</t>
  </si>
  <si>
    <t>should return featured mentors</t>
  </si>
  <si>
    <t>shouldFilterByKeywordSkillExperiencePriceAndRating</t>
  </si>
  <si>
    <t>should filter by keyword skill experience price and rating</t>
  </si>
  <si>
    <t>shouldReturnEmptyListWhenNoMentorMatches</t>
  </si>
  <si>
    <t>should return empty list when no mentor matches</t>
  </si>
  <si>
    <t>UC24 - Mentor Dashboard Overview</t>
  </si>
  <si>
    <t>MentorDashboardControllerTest</t>
  </si>
  <si>
    <t>dashboardReturnsTheStandardEnvelopeAndAllSections</t>
  </si>
  <si>
    <t>FUNC_MENTOR_DASHBOARD</t>
  </si>
  <si>
    <t>04_MentorDashboardCtrl</t>
  </si>
  <si>
    <t>dashboard returns the standard envelope and all sections</t>
  </si>
  <si>
    <t>requestDecisionAcceptsOnlyValidatedDecisionValues</t>
  </si>
  <si>
    <t>request decision accepts only validated decision values</t>
  </si>
  <si>
    <t>decisionConflictDoesNotExposeOwnership</t>
  </si>
  <si>
    <t>decision conflict does not expose ownership</t>
  </si>
  <si>
    <t>dashboardDataAccessFailureReturnsGenericRetryableServiceError</t>
  </si>
  <si>
    <t>dashboard data access failure returns generic retryable service error</t>
  </si>
  <si>
    <t>requestDecisionRejectsNonPositivePathIdentifier</t>
  </si>
  <si>
    <t>request decision rejects non positive path identifier</t>
  </si>
  <si>
    <t>N/A - Mentorship Package Management (service offerings)</t>
  </si>
  <si>
    <t>MentorPlanControllerTest</t>
  </si>
  <si>
    <t>getMyPlansReturnsTheStandardEnvelope</t>
  </si>
  <si>
    <t>FUNC_MENTOR_PACKAGES</t>
  </si>
  <si>
    <t>05_MentorPlanCtrl</t>
  </si>
  <si>
    <t>get my plans returns the standard envelope</t>
  </si>
  <si>
    <t>getMentorPlansReturnsOnlyActivePublicPackages</t>
  </si>
  <si>
    <t>get mentor plans returns only active public packages</t>
  </si>
  <si>
    <t>getMentorOfferingsReturnsActivePublicOfferings</t>
  </si>
  <si>
    <t>get mentor offerings returns active public offerings</t>
  </si>
  <si>
    <t>savePlansPersistsTheTierSet</t>
  </si>
  <si>
    <t>save plans persists the tier set</t>
  </si>
  <si>
    <t>savePlansRejectsInvalidTierPayload</t>
  </si>
  <si>
    <t>save plans rejects invalid tier payload</t>
  </si>
  <si>
    <t>storageFailureReturnsGenericRetryableServiceError</t>
  </si>
  <si>
    <t>storage failure returns generic retryable service error</t>
  </si>
  <si>
    <t>inactiveMentorConflictIsPropagated</t>
  </si>
  <si>
    <t>inactive mentor conflict is propagated</t>
  </si>
  <si>
    <t>UC13 - Manage Profile &amp; Biography</t>
  </si>
  <si>
    <t>MentorProfileControllerTest</t>
  </si>
  <si>
    <t>profileEndpointsDeclareReadAndWriteTransactions</t>
  </si>
  <si>
    <t>FUNC_MENTOR_PROFILE</t>
  </si>
  <si>
    <t>06_MentorProfileCtrl</t>
  </si>
  <si>
    <t>profile endpoints declare read and write transactions</t>
  </si>
  <si>
    <t>shouldPreserveFeaturedMentorResponse</t>
  </si>
  <si>
    <t>should preserve featured mentor response</t>
  </si>
  <si>
    <t>shouldReturnProfileInsideApiResponseEnvelope</t>
  </si>
  <si>
    <t>should return profile inside api response envelope</t>
  </si>
  <si>
    <t>shouldAllowDevelopmentFrontendCorsForProfileAndDashboardRoutes</t>
  </si>
  <si>
    <t>should allow development frontend cors for profile and dashboard routes</t>
  </si>
  <si>
    <t>shouldReturnApiResponseEnvelopeWhenDemoIdentityIsDisabled</t>
  </si>
  <si>
    <t>should return api response envelope when demo identity is disabled</t>
  </si>
  <si>
    <t>shouldValidateProfileUpdateRequest</t>
  </si>
  <si>
    <t>should validate profile update request</t>
  </si>
  <si>
    <t>shouldUpdateProfileThroughServiceAndReturnEnvelope</t>
  </si>
  <si>
    <t>should update profile through service and return envelope</t>
  </si>
  <si>
    <t>shouldReturnOnlyActiveSkillCatalogResponse</t>
  </si>
  <si>
    <t>should return only active skill catalog response</t>
  </si>
  <si>
    <t>shouldRejectInactiveSkillCatalogRequest</t>
  </si>
  <si>
    <t>should reject inactive skill catalog request</t>
  </si>
  <si>
    <t>UC28 - View Mentee Feedback (review list endpoint)</t>
  </si>
  <si>
    <t>MentorReviewControllerTest</t>
  </si>
  <si>
    <t>getMyReviewsReturnsSummaryAndCards</t>
  </si>
  <si>
    <t>FUNC_MENTOR_REVIEWS</t>
  </si>
  <si>
    <t>07_MentorReviewCtrl</t>
  </si>
  <si>
    <t>get my reviews returns summary and cards</t>
  </si>
  <si>
    <t>getMyReviewsUsesDefaultPaging</t>
  </si>
  <si>
    <t>get my reviews uses default paging</t>
  </si>
  <si>
    <t>getMyReviewsHonorsPagingParams</t>
  </si>
  <si>
    <t>get my reviews honors paging params</t>
  </si>
  <si>
    <t>UC28 - View Net Earnings + Bank account &amp; payout</t>
  </si>
  <si>
    <t>MentorWalletControllerTest</t>
  </si>
  <si>
    <t>getBankAccountReturnsTheSavedDestination</t>
  </si>
  <si>
    <t>FUNC_MENTOR_WALLET</t>
  </si>
  <si>
    <t>08_MentorWalletCtrl</t>
  </si>
  <si>
    <t>get bank account returns the saved destination</t>
  </si>
  <si>
    <t>saveBankAccountPersistsTheDestination</t>
  </si>
  <si>
    <t>save bank account persists the destination</t>
  </si>
  <si>
    <t>saveBankAccountRejectsAnInvalidAccountNumber</t>
  </si>
  <si>
    <t>save bank account rejects an invalid account number</t>
  </si>
  <si>
    <t>requestPayoutOtpSendsACode</t>
  </si>
  <si>
    <t>request payout otp sends a code</t>
  </si>
  <si>
    <t>submitPayoutDelegatesToTheOtpGatedService</t>
  </si>
  <si>
    <t>submit payout delegates to the otp gated service</t>
  </si>
  <si>
    <t>submitPayoutRejectsAMalformedOtp</t>
  </si>
  <si>
    <t>submit payout rejects a malformed otp</t>
  </si>
  <si>
    <t>insufficientBalanceConflictIsPropagated</t>
  </si>
  <si>
    <t>insufficient balance conflict is propagated</t>
  </si>
  <si>
    <t>UC26 - Handle One-Off Session Requests</t>
  </si>
  <si>
    <t>MentorshipRequestControllerOneOffTest</t>
  </si>
  <si>
    <t>createOneOffReturnsCreatedAndDelegatesToTheService</t>
  </si>
  <si>
    <t>FUNC_MENTOR_REQUESTS</t>
  </si>
  <si>
    <t>09_MshipRequestControllerOneOff</t>
  </si>
  <si>
    <t>create one off returns created and delegates to the service</t>
  </si>
  <si>
    <t>createOneOffRejectsAShortAgenda</t>
  </si>
  <si>
    <t>create one off rejects a short agenda</t>
  </si>
  <si>
    <t>createOneOffRequiresAnOfferingId</t>
  </si>
  <si>
    <t>create one off requires an offering id</t>
  </si>
  <si>
    <t>createOneOffRejectsAnInvalidExperienceLevel</t>
  </si>
  <si>
    <t>create one off rejects an invalid experience level</t>
  </si>
  <si>
    <t>createOneOffRequiresTermsVersion</t>
  </si>
  <si>
    <t>create one off requires terms version</t>
  </si>
  <si>
    <t>UC26 - Handle Mentorship Requests (Accept/Reject) + checkout</t>
  </si>
  <si>
    <t>MentorshipRequestControllerTest</t>
  </si>
  <si>
    <t>createsRequestPendingMentorDecision</t>
  </si>
  <si>
    <t>10_MshipRequestCtrl</t>
  </si>
  <si>
    <t>creates request pending mentor decision</t>
  </si>
  <si>
    <t>rejectsShortLearningGoals</t>
  </si>
  <si>
    <t>rejects short learning goals</t>
  </si>
  <si>
    <t>rejectsUnknownExperienceLevel</t>
  </si>
  <si>
    <t>rejects unknown experience level</t>
  </si>
  <si>
    <t>unpublishedPackageConflictIsPropagated</t>
  </si>
  <si>
    <t>unpublished package conflict is propagated</t>
  </si>
  <si>
    <t>anonymousRequestIsRejected</t>
  </si>
  <si>
    <t>anonymous request is rejected</t>
  </si>
  <si>
    <t>cancelsAnApplication</t>
  </si>
  <si>
    <t>cancels an application</t>
  </si>
  <si>
    <t>loadsCheckoutInfoForAcceptedRequest</t>
  </si>
  <si>
    <t>loads checkout info for accepted request</t>
  </si>
  <si>
    <t>startsPendingSepayCheckout</t>
  </si>
  <si>
    <t>starts pending sepay checkout</t>
  </si>
  <si>
    <t>listsMyApplicationsWithStatusFilterAndPagination</t>
  </si>
  <si>
    <t>lists my applications with status filter and pagination</t>
  </si>
  <si>
    <t>UC21 - Paid Mentorship Workspace (chat/files)</t>
  </si>
  <si>
    <t>MentorshipWorkspaceControllerTest</t>
  </si>
  <si>
    <t>listsActiveWorkspaces</t>
  </si>
  <si>
    <t>FUNC_MENTOR_WORKSPACE</t>
  </si>
  <si>
    <t>11_MshipWorkspaceCtrl</t>
  </si>
  <si>
    <t>lists active workspaces</t>
  </si>
  <si>
    <t>sendsValidatedMessage</t>
  </si>
  <si>
    <t>sends validated message</t>
  </si>
  <si>
    <t>rejectsBlankMessage</t>
  </si>
  <si>
    <t>rejects blank message</t>
  </si>
  <si>
    <t>uploadsWorkspaceFile</t>
  </si>
  <si>
    <t>uploads workspace file</t>
  </si>
  <si>
    <t>downloadsAuthorizedWorkspaceFileAsAttachment</t>
  </si>
  <si>
    <t>downloads authorized workspace file as attachment</t>
  </si>
  <si>
    <t>marksWorkspaceMessagesAsRead</t>
  </si>
  <si>
    <t>marks workspace messages as read</t>
  </si>
  <si>
    <t>UC13 - Profile &amp; Skill persistence mapping/validation</t>
  </si>
  <si>
    <t>MentorPersistenceMappingTest</t>
  </si>
  <si>
    <t>mentorProfileUsesOwningUserIdAsPrimaryKey</t>
  </si>
  <si>
    <t>12_MentorPersistenceMapping</t>
  </si>
  <si>
    <t>mentor profile uses owning user id as primary key</t>
  </si>
  <si>
    <t>mentorSkillUsesEmbeddedKeyAndMapsBothRelationships</t>
  </si>
  <si>
    <t>mentor skill uses embedded key and maps both relationships</t>
  </si>
  <si>
    <t>mentorSkillIdUsesBothKeysForEquality</t>
  </si>
  <si>
    <t>mentor skill id uses both keys for equality</t>
  </si>
  <si>
    <t>skillEntityMapsTheActiveFlagFromTheExistingCatalogTable</t>
  </si>
  <si>
    <t>skill entity maps the active flag from the existing catalog table</t>
  </si>
  <si>
    <t>profileRequestRejectsBiographyShorterThanSchemaMinimum</t>
  </si>
  <si>
    <t>profile request rejects biography shorter than schema minimum</t>
  </si>
  <si>
    <t>profileRequestRejectsBiographyWhoseTrimmedLengthIsBelowSchemaMinimum</t>
  </si>
  <si>
    <t>profile request rejects biography whose trimmed length is below schema minimum</t>
  </si>
  <si>
    <t>profileRequestAcceptsValidProfileData</t>
  </si>
  <si>
    <t>profile request accepts valid profile data</t>
  </si>
  <si>
    <t>profileRequestRejectsExperienceAboveSchemaLimit</t>
  </si>
  <si>
    <t>profile request rejects experience above schema limit</t>
  </si>
  <si>
    <t>profileRequestRejectsNonHttpProfessionalLinks</t>
  </si>
  <si>
    <t>profile request rejects non http professional links</t>
  </si>
  <si>
    <t>profileRequestRequiresAtLeastOneSkill</t>
  </si>
  <si>
    <t>profile request requires at least one skill</t>
  </si>
  <si>
    <t>UC13 - Mentor profile &amp; identity service</t>
  </si>
  <si>
    <t>MentorServiceTest</t>
  </si>
  <si>
    <t>getProfileCombinesAccountProfileAndActiveSkills</t>
  </si>
  <si>
    <t>13_MentorSvc</t>
  </si>
  <si>
    <t>get profile combines account profile and active skills</t>
  </si>
  <si>
    <t>disabledDemoIdentityFailsBeforeAccessingRepositories</t>
  </si>
  <si>
    <t>disabled demo identity fails before accessing repositories</t>
  </si>
  <si>
    <t>missingDemoUserIdFailsClosed</t>
  </si>
  <si>
    <t>missing demo user id fails closed</t>
  </si>
  <si>
    <t>demoIdentityMustBelongToAnActiveMentor</t>
  </si>
  <si>
    <t>demo identity must belong to an active mentor</t>
  </si>
  <si>
    <t>rejectsInvalidSkillSelectionBeforeChangingProfileFields</t>
  </si>
  <si>
    <t>rejects invalid skill selection before changing profile fields</t>
  </si>
  <si>
    <t>rejectsDuplicateSkillIdsBeforeRepositoryWrites</t>
  </si>
  <si>
    <t>rejects duplicate skill ids before repository writes</t>
  </si>
  <si>
    <t>listsOnlySkillsReturnedByActiveCatalogQuery</t>
  </si>
  <si>
    <t>lists only skills returned by active catalog query</t>
  </si>
  <si>
    <t>updatesProfileAndSynchronizesOnlyActiveSkillLinks</t>
  </si>
  <si>
    <t>updates profile and synchronizes only active skill links</t>
  </si>
  <si>
    <t>UC24/UC28 - Dashboard earnings/rating/request queries</t>
  </si>
  <si>
    <t>MentorDashboardRepositoryQueryTest</t>
  </si>
  <si>
    <t>earningsQueryUsesSuccessfulRefundsAndThePerPaymentCommissionSnapshot</t>
  </si>
  <si>
    <t>14_MentorDashboardRepositoryQue</t>
  </si>
  <si>
    <t>earnings query uses successful refunds and the per payment commission snapshot</t>
  </si>
  <si>
    <t>ratingQueryExcludesHiddenAndFlaggedReviews</t>
  </si>
  <si>
    <t>rating query excludes hidden and flagged reviews</t>
  </si>
  <si>
    <t>pendingRequestQueryScopesTheMentorAndPendingState</t>
  </si>
  <si>
    <t>pending request query scopes the mentor and pending state</t>
  </si>
  <si>
    <t>decisionQueryIsOneOwnerAndDeadlineGuardedTransition</t>
  </si>
  <si>
    <t>decision query is one owner and deadline guarded transition</t>
  </si>
  <si>
    <t>noticeQueryIsBoundedAndUsesCurrentRefundStateTimestamps</t>
  </si>
  <si>
    <t>notice query is bounded and uses current refund state timestamps</t>
  </si>
  <si>
    <t>UC11 - Select &amp; Update Teaching Skills</t>
  </si>
  <si>
    <t>MentorSkillRepositoryTest</t>
  </si>
  <si>
    <t>activeMentorSkillQueryFiltersInactiveCatalogSkills</t>
  </si>
  <si>
    <t>FUNC_MENTOR_SKILLS</t>
  </si>
  <si>
    <t>15_MentorSkillRepo</t>
  </si>
  <si>
    <t>active mentor skill query filters inactive catalog skills</t>
  </si>
  <si>
    <t>UC21 - Workspace unread-message counts (repository)</t>
  </si>
  <si>
    <t>MentorshipWorkspaceRepositoryIntegrationTest</t>
  </si>
  <si>
    <t>countsAndMarksUnreadMessagesForOnlyTheSelectedMember</t>
  </si>
  <si>
    <t>16_MshipWorkspaceRepositoryInt</t>
  </si>
  <si>
    <t>counts and marks unread messages for only the selected member</t>
  </si>
  <si>
    <t>N/A - Availability conflict engine &amp; 10-min slot hold</t>
  </si>
  <si>
    <t>MentorAvailabilityIntegrationTest</t>
  </si>
  <si>
    <t>mentorPublishesAnOpenSlotAndSeesItListed</t>
  </si>
  <si>
    <t>17_MentorAvailabilityInt</t>
  </si>
  <si>
    <t>mentor publishes an open slot and sees it listed</t>
  </si>
  <si>
    <t>createSlotRejectsAnOverlappingSlot</t>
  </si>
  <si>
    <t>create slot rejects an overlapping slot</t>
  </si>
  <si>
    <t>createSlotRejectsEndBeforeStart</t>
  </si>
  <si>
    <t>create slot rejects end before start</t>
  </si>
  <si>
    <t>deleteSlotRemovesTheMentorsSlot</t>
  </si>
  <si>
    <t>delete slot removes the mentors slot</t>
  </si>
  <si>
    <t>holdRejectsBookingLessThanTwoHoursAhead</t>
  </si>
  <si>
    <t>hold rejects booking less than two hours ahead</t>
  </si>
  <si>
    <t>holdRejectsTimeOutsidePublishedAvailability</t>
  </si>
  <si>
    <t>hold rejects time outside published availability</t>
  </si>
  <si>
    <t>menteeHoldsAnOpenSlotForTenMinutesAndItBecomesUnavailable</t>
  </si>
  <si>
    <t>mentee holds an open slot for ten minutes and it becomes unavailable</t>
  </si>
  <si>
    <t>secondMenteeCannotHoldAnOverlappingSlot</t>
  </si>
  <si>
    <t>second mentee cannot hold an overlapping slot</t>
  </si>
  <si>
    <t>releaseSlotMakesTheSlotAvailableAgain</t>
  </si>
  <si>
    <t>release slot makes the slot available again</t>
  </si>
  <si>
    <t>deleteSlotRejectsWhenTheSlotIsBooked</t>
  </si>
  <si>
    <t>delete slot rejects when the slot is booked</t>
  </si>
  <si>
    <t>UC24/UC26 - Dashboard aggregation &amp; request decisions</t>
  </si>
  <si>
    <t>MentorDashboardServiceTest</t>
  </si>
  <si>
    <t>dashboardAggregatesOnlyServerResolvedMentorMetricsAndRecords</t>
  </si>
  <si>
    <t>18_MentorDashboardSvc</t>
  </si>
  <si>
    <t>dashboard aggregates only server resolved mentor metrics and records</t>
  </si>
  <si>
    <t>emptyDashboardUsesZeroEarningsAndAnExplicitMissingRatingValue</t>
  </si>
  <si>
    <t>empty dashboard uses zero earnings and an explicit missing rating value</t>
  </si>
  <si>
    <t>decisionUsesOnlyConfiguredIdentityAndReturnsPersistedDecision</t>
  </si>
  <si>
    <t>decision uses only configured identity and returns persisted decision</t>
  </si>
  <si>
    <t>acceptingARequestNotifiesTheMenteeWithPaymentNextStep</t>
  </si>
  <si>
    <t>accepting a request notifies the mentee with payment next step</t>
  </si>
  <si>
    <t>staleOrForeignRequestDecisionReturnsOpaqueConflictWithoutReloading</t>
  </si>
  <si>
    <t>stale or foreign request decision returns opaque conflict without reloading</t>
  </si>
  <si>
    <t>dashboardDoesNotSuppressPersistenceFailures</t>
  </si>
  <si>
    <t>dashboard does not suppress persistence failures</t>
  </si>
  <si>
    <t>mentorRequestHistoryReturnsPersistedAcceptedAndRejectedRows</t>
  </si>
  <si>
    <t>mentor request history returns persisted accepted and rejected rows</t>
  </si>
  <si>
    <t>disabledMentorIdentityFailsBeforeDashboardQueries</t>
  </si>
  <si>
    <t>disabled mentor identity fails before dashboard queries</t>
  </si>
  <si>
    <t>rejectedDecisionReturnsThePersistedState</t>
  </si>
  <si>
    <t>rejected decision returns the persisted state</t>
  </si>
  <si>
    <t>noticeProjectionBecomesUtcCurrentStateSummary</t>
  </si>
  <si>
    <t>notice projection becomes utc current state summary</t>
  </si>
  <si>
    <t>UC26 - Handle Mentorship Requests (decision transaction)</t>
  </si>
  <si>
    <t>MentorDashboardTransactionIntegrationTest</t>
  </si>
  <si>
    <t>acceptsOnlyAnUnexpiredPendingOwnedRequestWithoutCreatingFinancialRecords</t>
  </si>
  <si>
    <t>19_MentorDashboardTransactionIn</t>
  </si>
  <si>
    <t>accepts only an unexpired pending owned request without creating financial records</t>
  </si>
  <si>
    <t>noticeProjectionExecutesWithinMentorScopeAndReturnsAtMostTenRows</t>
  </si>
  <si>
    <t>notice projection executes within mentor scope and returns at most ten rows</t>
  </si>
  <si>
    <t>UC28 - OTP-gated Payout Withdrawal</t>
  </si>
  <si>
    <t>MentorPayoutOtpIntegrationTest</t>
  </si>
  <si>
    <t>saveBankAccountEncryptsTheNumberAndMasksItOnRead</t>
  </si>
  <si>
    <t>20_MentorPayoutOtpInt</t>
  </si>
  <si>
    <t>save bank account encrypts the number and masks it on read</t>
  </si>
  <si>
    <t>bankAccountIsEmptyBeforeTheMentorSavesOne</t>
  </si>
  <si>
    <t>bank account is empty before the mentor saves one</t>
  </si>
  <si>
    <t>requestPayoutOtpRequiresASavedBankAccount</t>
  </si>
  <si>
    <t>request payout otp requires a saved bank account</t>
  </si>
  <si>
    <t>submitPayoutRequiresASavedBankAccount</t>
  </si>
  <si>
    <t>submit payout requires a saved bank account</t>
  </si>
  <si>
    <t>submitPayoutRejectsWhenNoCodeWasEverRequested</t>
  </si>
  <si>
    <t>submit payout rejects when no code was ever requested</t>
  </si>
  <si>
    <t>submitPayoutRejectsAnInvalidCode</t>
  </si>
  <si>
    <t>submit payout rejects an invalid code</t>
  </si>
  <si>
    <t>submitPayoutVerifiesTheCodeBeforeEnforcingTheAvailableBalance</t>
  </si>
  <si>
    <t>submit payout verifies the code before enforcing the available balance</t>
  </si>
  <si>
    <t>UC13 - Manage Profile &amp; Biography (transaction)</t>
  </si>
  <si>
    <t>MentorProfileTransactionIntegrationTest</t>
  </si>
  <si>
    <t>rollsBackAccountAndProfileWhenSkillSynchronizationFails</t>
  </si>
  <si>
    <t>21_MentorProfileTransactionInt</t>
  </si>
  <si>
    <t>rolls back account and profile when skill synchronization fails</t>
  </si>
  <si>
    <t>UC28 - Mentee Feedback paging &amp; summary service</t>
  </si>
  <si>
    <t>MentorReviewServiceTest</t>
  </si>
  <si>
    <t>returnsSummaryAndCurrentPage</t>
  </si>
  <si>
    <t>22_MentorReviewSvc</t>
  </si>
  <si>
    <t>returns summary and current page</t>
  </si>
  <si>
    <t>clampsNegativePageAndDefaultSize</t>
  </si>
  <si>
    <t>clamps negative page and default size</t>
  </si>
  <si>
    <t>capsPageSizeAtMaximum</t>
  </si>
  <si>
    <t>caps page size at maximum</t>
  </si>
  <si>
    <t>returnsEmptySummaryWithoutQueryingItemsWhenNoReviews</t>
  </si>
  <si>
    <t>returns empty summary without querying items when no reviews</t>
  </si>
  <si>
    <t>returnsEmptyItemsWhenPageIsBeyondTotal</t>
  </si>
  <si>
    <t>returns empty items when page is beyond total</t>
  </si>
  <si>
    <t>resolvesDashboardIdentityFromLoggedInMentorWithoutDemoFlag</t>
  </si>
  <si>
    <t>23_MentorSvc</t>
  </si>
  <si>
    <t>resolves dashboard identity from logged in mentor without demo flag</t>
  </si>
  <si>
    <t>rejectsNonMentorSessionEvenWhenDemoWouldOtherwiseApply</t>
  </si>
  <si>
    <t>rejects non mentor session even when demo would otherwise apply</t>
  </si>
  <si>
    <t>unauthenticatedRequestWithoutDemoEnabledIsUnavailable</t>
  </si>
  <si>
    <t>unauthenticated request without demo enabled is unavailable</t>
  </si>
  <si>
    <t>UC28 - Net earnings split &amp; payout encryption</t>
  </si>
  <si>
    <t>MentorWalletServiceTest</t>
  </si>
  <si>
    <t>splitsGrossPaymentUsingSavedCommissionAndWholeVndRounding</t>
  </si>
  <si>
    <t>24_MentorWalletSvc</t>
  </si>
  <si>
    <t>splits gross payment using saved commission and whole vnd rounding</t>
  </si>
  <si>
    <t>roundsFractionalCommissionOnceAndPreservesGrossTotal</t>
  </si>
  <si>
    <t>rounds fractional commission once and preserves gross total</t>
  </si>
  <si>
    <t>payoutAccountEncryptionUsesAuthenticatedCiphertextAndRandomNonce</t>
  </si>
  <si>
    <t>payout account encryption uses authenticated ciphertext and random nonce</t>
  </si>
  <si>
    <t>payoutDetailsFailClosedWithoutConfiguredEncryptionKey</t>
  </si>
  <si>
    <t>payout details fail closed without configured encryption key</t>
  </si>
  <si>
    <t>masksMentorEmailBeforeEchoingItToTheClient</t>
  </si>
  <si>
    <t>masks mentor email before echoing it to the client</t>
  </si>
  <si>
    <t>UC20/UC26 - Mentorship Package Selection (tier freeze)</t>
  </si>
  <si>
    <t>MentorshipPackageSelectionTest</t>
  </si>
  <si>
    <t>selectedOfferingIdFreezesThatTierAndItsPrice</t>
  </si>
  <si>
    <t>25_MshipPackageSelection</t>
  </si>
  <si>
    <t>selected offering id freezes that tier and its price</t>
  </si>
  <si>
    <t>doesNotGuessWhenMultiplePackagesExistAndClientOmitsSelection</t>
  </si>
  <si>
    <t>does not guess when multiple packages exist and client omits selection</t>
  </si>
  <si>
    <t>rejectsSelectedOfferingThatIsNotActiveForTheMentor</t>
  </si>
  <si>
    <t>rejects selected offering that is not active for the mentor</t>
  </si>
  <si>
    <t>UC26 - Mentorship Request Cancellation</t>
  </si>
  <si>
    <t>MentorshipRequestCancellationTest</t>
  </si>
  <si>
    <t>cancelsOwnedAcceptedApplicationWithoutSucceededPaymentAndNotifiesMentor</t>
  </si>
  <si>
    <t>26_MshipRequestCancellation</t>
  </si>
  <si>
    <t>cancels owned accepted application without succeeded payment and notifies mentor</t>
  </si>
  <si>
    <t>refusesCancellationWhenPaymentIsSucceeded</t>
  </si>
  <si>
    <t>refuses cancellation when payment is succeeded</t>
  </si>
  <si>
    <t>UC21 - Workspace membership, messaging, file upload</t>
  </si>
  <si>
    <t>MentorshipWorkspaceServiceTest</t>
  </si>
  <si>
    <t>listsOnlyRowsReturnedForCurrentMember</t>
  </si>
  <si>
    <t>27_MshipWorkspaceSvc</t>
  </si>
  <si>
    <t>lists only rows returned for current member</t>
  </si>
  <si>
    <t>rejectsAnAuthenticatedNonMember</t>
  </si>
  <si>
    <t>rejects an authenticated non member</t>
  </si>
  <si>
    <t>repeatedClientKeyReturnsExistingMessageWithoutAnotherInsert</t>
  </si>
  <si>
    <t>repeated client key returns existing message without another insert</t>
  </si>
  <si>
    <t>uploadsSupportedFileIntoTheMemberConversation</t>
  </si>
  <si>
    <t>uploads supported file into the member conversation</t>
  </si>
  <si>
    <t>rejectsExecutableWorkspaceFile</t>
  </si>
  <si>
    <t>rejects executable workspace file</t>
  </si>
  <si>
    <t>marksOnlyTheCurrentMembersConversationAsRead</t>
  </si>
  <si>
    <t>marks only the current members conversation as read</t>
  </si>
  <si>
    <t>UC24 - Mentor Dashboard UI</t>
  </si>
  <si>
    <t>MentorDashboardPage</t>
  </si>
  <si>
    <t>formats VND earnings as whole dong without fractional decimals</t>
  </si>
  <si>
    <t>28_MentorDashboardPage</t>
  </si>
  <si>
    <t>Mentor route mounted; fetch/apiClient mocked</t>
  </si>
  <si>
    <t>formats remaining SLA time against an injectable current time</t>
  </si>
  <si>
    <t>bounds long learning goal summaries and handles empty goals</t>
  </si>
  <si>
    <t>metric card escapes text that may originate in dashboard data</t>
  </si>
  <si>
    <t>UC13 - Mentor Profile UI</t>
  </si>
  <si>
    <t>MentorProfilePage</t>
  </si>
  <si>
    <t>profile page loads real backend data without a development preview notice</t>
  </si>
  <si>
    <t>29_MentorProfilePage</t>
  </si>
  <si>
    <t>UC26 - Mentor Requests UI</t>
  </si>
  <si>
    <t>MentorRequestsPage</t>
  </si>
  <si>
    <t>requests page exposes persisted request history, status filtering, and the shared details modal</t>
  </si>
  <si>
    <t>30_MentorRequestsPage</t>
  </si>
  <si>
    <t>UC28 - Earnings &amp; Feedback UI (wallet + reviews)</t>
  </si>
  <si>
    <t>MentorWalletPage</t>
  </si>
  <si>
    <t>mentor wallet page explains the hold, available funds and payout flow</t>
  </si>
  <si>
    <t>31_MentorWalletPage</t>
  </si>
  <si>
    <t>mentor wallet page exposes saved bank account management and OTP verification</t>
  </si>
  <si>
    <t>mentor wallet page renders the read-only mentee feedback section</t>
  </si>
  <si>
    <t>UC21 - Mentor Workspace shell / availability / packages UI</t>
  </si>
  <si>
    <t>MentorWorkspacePage</t>
  </si>
  <si>
    <t>all mentor workspace routes share the operational shell and select their own navigation item</t>
  </si>
  <si>
    <t>32_MentorWorkspacePage</t>
  </si>
  <si>
    <t>availability module renders the open-slot manager</t>
  </si>
  <si>
    <t>packages module renders one card per tier with enable toggles</t>
  </si>
  <si>
    <t>N/A - Availability API client (CSRF)</t>
  </si>
  <si>
    <t>mentorAvailabilityService</t>
  </si>
  <si>
    <t>getMyAvailability returns the slot list from the envelope</t>
  </si>
  <si>
    <t>33_mentorAvailabilitySvc</t>
  </si>
  <si>
    <t>createSlot fetches a CSRF token before posting the slot</t>
  </si>
  <si>
    <t>deleteSlot sends an authenticated CSRF delete request</t>
  </si>
  <si>
    <t>UC24/UC26 - Dashboard &amp; request-decision API client</t>
  </si>
  <si>
    <t>mentorDashboardService</t>
  </si>
  <si>
    <t>getMyDashboard reads the current mentor dashboard endpoint</t>
  </si>
  <si>
    <t>34_mentorDashboardSvc</t>
  </si>
  <si>
    <t>getMyRequests reads persisted request history</t>
  </si>
  <si>
    <t>decideOnRequest sends the decision with a CSRF header</t>
  </si>
  <si>
    <t>decideOnRequest does not send a decision when the CSRF token is unavailable</t>
  </si>
  <si>
    <t>decision service rejects invalid decisions before issuing a request</t>
  </si>
  <si>
    <t>UC28 - Mentee Feedback API client</t>
  </si>
  <si>
    <t>mentorReviewService</t>
  </si>
  <si>
    <t>getMyReviews requests the paged mentor review endpoint and normalizes the payload</t>
  </si>
  <si>
    <t>35_mentorReviewSvc</t>
  </si>
  <si>
    <t>getMyReviews defaults to page 0 and size 10 and tolerates an empty response</t>
  </si>
  <si>
    <t>UC28 - Payout/bank API client (CSRF)</t>
  </si>
  <si>
    <t>mentorWalletService</t>
  </si>
  <si>
    <t>payout request fetches a CSRF token before posting bank details</t>
  </si>
  <si>
    <t>36_mentorWalletSvc</t>
  </si>
  <si>
    <t>UNIT TEST REPORT</t>
  </si>
  <si>
    <t>Notes</t>
  </si>
  <si>
    <t>Untested cases remain blank. Result totals reflect recorded P/F/U execution states; U is included in Untested.</t>
  </si>
  <si>
    <t>Function code</t>
  </si>
  <si>
    <t>Passed</t>
  </si>
  <si>
    <t>Failed</t>
  </si>
  <si>
    <t>Untested</t>
  </si>
  <si>
    <t>N</t>
  </si>
  <si>
    <t>A</t>
  </si>
  <si>
    <t>B</t>
  </si>
  <si>
    <t>Total Test Cases</t>
  </si>
  <si>
    <t>Sub total</t>
  </si>
  <si>
    <t>Test coverage</t>
  </si>
  <si>
    <t>Test successful coverage</t>
  </si>
  <si>
    <t>Normal case</t>
  </si>
  <si>
    <t>Abnormal case</t>
  </si>
  <si>
    <t>Boundary case</t>
  </si>
  <si>
    <t>Result</t>
  </si>
  <si>
    <t>Count</t>
  </si>
  <si>
    <t>Percent</t>
  </si>
  <si>
    <t>Test Type</t>
  </si>
  <si>
    <t>Function Code</t>
  </si>
  <si>
    <t>Created By</t>
  </si>
  <si>
    <t>Executed By</t>
  </si>
  <si>
    <t>Lines of code</t>
  </si>
  <si>
    <t>Lack of test cases</t>
  </si>
  <si>
    <t>Test requirement</t>
  </si>
  <si>
    <t>Register as Mentor and submit CV / qualification certificates [UC15]</t>
  </si>
  <si>
    <t>N / A / B</t>
  </si>
  <si>
    <t>UTCID01</t>
  </si>
  <si>
    <t>UTCID02</t>
  </si>
  <si>
    <t>UTCID03</t>
  </si>
  <si>
    <t>UTCID04</t>
  </si>
  <si>
    <t>UTCID05</t>
  </si>
  <si>
    <t>UTCID06</t>
  </si>
  <si>
    <t>UTCID07</t>
  </si>
  <si>
    <t>UTCID08</t>
  </si>
  <si>
    <t>Condition</t>
  </si>
  <si>
    <t>Precondition</t>
  </si>
  <si>
    <t>O</t>
  </si>
  <si>
    <t>MTC001: anonymous otp approval preserves both roles and private document</t>
  </si>
  <si>
    <t>MTC002: existing mentee must login and cannot change account email</t>
  </si>
  <si>
    <t>MTC003: otp cooldown attempt limit expiry and resend are enforced</t>
  </si>
  <si>
    <t>MTC004: staff permission and rejection resubmission are enforced</t>
  </si>
  <si>
    <t>MTC005: mail failure is not reported as submission success and invalid pdf is rejected</t>
  </si>
  <si>
    <t>MTC006: google cannot provision or upgrade a mentor</t>
  </si>
  <si>
    <t>MTC007: password can resume draft but cannot authenticate before otp</t>
  </si>
  <si>
    <t>MTC008: self review and revoked reviewer are denied</t>
  </si>
  <si>
    <t>Confirm</t>
  </si>
  <si>
    <t>Expected results</t>
  </si>
  <si>
    <t>Expected outcome is verified: Assertions hold: anonymous otp approval preserves both roles and private document.</t>
  </si>
  <si>
    <t>Expected outcome is verified: Assertions hold: existing mentee must login and cannot change account email.</t>
  </si>
  <si>
    <t>Expected outcome is verified: Assertions hold: otp cooldown attempt limit expiry and resend are enforced.</t>
  </si>
  <si>
    <t>Expected outcome is verified: Assertions hold: staff permission and rejection resubmission are enforced.</t>
  </si>
  <si>
    <t>Expected outcome is verified: Assertions hold: mail failure is not reported as submission success and invalid pdf is rejected.</t>
  </si>
  <si>
    <t>Expected outcome is verified: Assertions hold: google cannot provision or upgrade a mentor.</t>
  </si>
  <si>
    <t>Expected outcome is verified: Assertions hold: password can resume draft but cannot authenticate before otp.</t>
  </si>
  <si>
    <t>Expected outcome is verified: Assertions hold: self review and revoked reviewer are denied.</t>
  </si>
  <si>
    <t>Type (N / A / B)</t>
  </si>
  <si>
    <t>Passed / Failed</t>
  </si>
  <si>
    <t>P</t>
  </si>
  <si>
    <t>Executed Date</t>
  </si>
  <si>
    <t>2026-10-17</t>
  </si>
  <si>
    <t>Defect ID</t>
  </si>
  <si>
    <t>Publish availability and prevent conflicting slot reservations [No dedicated UC]</t>
  </si>
  <si>
    <t>UTCID09</t>
  </si>
  <si>
    <t>UTCID10</t>
  </si>
  <si>
    <t>UTCID11</t>
  </si>
  <si>
    <t>UTCID12</t>
  </si>
  <si>
    <t>UTCID13</t>
  </si>
  <si>
    <t>UTCID14</t>
  </si>
  <si>
    <t>UTCID15</t>
  </si>
  <si>
    <t>UTCID16</t>
  </si>
  <si>
    <t>UTCID17</t>
  </si>
  <si>
    <t>UTCID18</t>
  </si>
  <si>
    <t>UTCID19</t>
  </si>
  <si>
    <t>UTCID20</t>
  </si>
  <si>
    <t>UTCID21</t>
  </si>
  <si>
    <t>UTCID22</t>
  </si>
  <si>
    <t>MTC009: get my availability returns published slots</t>
  </si>
  <si>
    <t>MTC010: create slot returns created</t>
  </si>
  <si>
    <t>MTC011: create slot rejects missing start</t>
  </si>
  <si>
    <t>MTC012: delete slot returns ok</t>
  </si>
  <si>
    <t>MTC013: get mentor availability returns public slots</t>
  </si>
  <si>
    <t>MTC014: hold slot returns created</t>
  </si>
  <si>
    <t>MTC015: hold slot rejects missing fields</t>
  </si>
  <si>
    <t>MTC016: release slot returns ok</t>
  </si>
  <si>
    <t>MTC096: mentor publishes an open slot and sees it listed</t>
  </si>
  <si>
    <t>MTC097: create slot rejects an overlapping slot</t>
  </si>
  <si>
    <t>MTC098: create slot rejects end before start</t>
  </si>
  <si>
    <t>MTC099: delete slot removes the mentors slot</t>
  </si>
  <si>
    <t>MTC100: hold rejects booking less than two hours ahead</t>
  </si>
  <si>
    <t>MTC101: hold rejects time outside published availability</t>
  </si>
  <si>
    <t>MTC102: mentee holds an open slot for ten minutes and it becomes unavailable</t>
  </si>
  <si>
    <t>MTC103: second mentee cannot hold an overlapping slot</t>
  </si>
  <si>
    <t>MTC104: release slot makes the slot available again</t>
  </si>
  <si>
    <t>MTC105: delete slot rejects when the slot is booked</t>
  </si>
  <si>
    <t>MTC160: availability module renders the open-slot manager</t>
  </si>
  <si>
    <t>MTC162: getMyAvailability returns the slot list from the envelope</t>
  </si>
  <si>
    <t>MTC163: createSlot fetches a CSRF token before posting the slot</t>
  </si>
  <si>
    <t>MTC164: deleteSlot sends an authenticated CSRF delete request</t>
  </si>
  <si>
    <t>Expected outcome is verified: Assertions hold: get my availability returns published slots.</t>
  </si>
  <si>
    <t>Expected outcome is verified: Assertions hold: create slot returns created.</t>
  </si>
  <si>
    <t>Expected outcome is verified: Assertions hold: create slot rejects missing start.</t>
  </si>
  <si>
    <t>Expected outcome is verified: Assertions hold: delete slot returns ok.</t>
  </si>
  <si>
    <t>Expected outcome is verified: Assertions hold: get mentor availability returns public slots.</t>
  </si>
  <si>
    <t>Expected outcome is verified: Assertions hold: hold slot returns created.</t>
  </si>
  <si>
    <t>Expected outcome is verified: Assertions hold: hold slot rejects missing fields.</t>
  </si>
  <si>
    <t>Expected outcome is verified: Assertions hold: release slot returns ok.</t>
  </si>
  <si>
    <t>Expected outcome is verified: Assertions hold: mentor publishes an open slot and sees it listed.</t>
  </si>
  <si>
    <t>Expected outcome is verified: Assertions hold: create slot rejects an overlapping slot.</t>
  </si>
  <si>
    <t>Expected outcome is verified: Assertions hold: create slot rejects end before start.</t>
  </si>
  <si>
    <t>Expected outcome is verified: Assertions hold: delete slot removes the mentors slot.</t>
  </si>
  <si>
    <t>Expected outcome is verified: Assertions hold: hold rejects booking less than two hours ahead.</t>
  </si>
  <si>
    <t>Expected outcome is verified: Assertions hold: hold rejects time outside published availability.</t>
  </si>
  <si>
    <t>Expected outcome is verified: Assertions hold: mentee holds an open slot for ten minutes and it becomes unavailable.</t>
  </si>
  <si>
    <t>Expected outcome is verified: Assertions hold: second mentee cannot hold an overlapping slot.</t>
  </si>
  <si>
    <t>Expected outcome is verified: Assertions hold: release slot makes the slot available again.</t>
  </si>
  <si>
    <t>Expected outcome is verified: Assertions hold: delete slot rejects when the slot is booked.</t>
  </si>
  <si>
    <t>Expected outcome is verified: Assertions hold: availability module renders the open-slot manager.</t>
  </si>
  <si>
    <t>Expected outcome is verified: Assertions hold: getMyAvailability returns the slot list from the envelope.</t>
  </si>
  <si>
    <t>Expected outcome is verified: Assertions hold: createSlot fetches a CSRF token before posting the slot.</t>
  </si>
  <si>
    <t>Expected outcome is verified: Assertions hold: deleteSlot sends an authenticated CSRF delete request.</t>
  </si>
  <si>
    <t>Manage profile, biography, experience, links and teaching skills [UC13 / UC11]</t>
  </si>
  <si>
    <t>UTCID23</t>
  </si>
  <si>
    <t>UTCID24</t>
  </si>
  <si>
    <t>UTCID25</t>
  </si>
  <si>
    <t>UTCID26</t>
  </si>
  <si>
    <t>UTCID27</t>
  </si>
  <si>
    <t>UTCID28</t>
  </si>
  <si>
    <t>UTCID29</t>
  </si>
  <si>
    <t>UTCID30</t>
  </si>
  <si>
    <t>UTCID31</t>
  </si>
  <si>
    <t>UTCID32</t>
  </si>
  <si>
    <t>UTCID33</t>
  </si>
  <si>
    <t>UTCID34</t>
  </si>
  <si>
    <t>UTCID35</t>
  </si>
  <si>
    <t>UTCID36</t>
  </si>
  <si>
    <t>MTC017: should return featured mentors</t>
  </si>
  <si>
    <t>MTC018: should filter by keyword skill experience price and rating</t>
  </si>
  <si>
    <t>MTC019: should return empty list when no mentor matches</t>
  </si>
  <si>
    <t>MTC032: profile endpoints declare read and write transactions</t>
  </si>
  <si>
    <t>MTC033: should preserve featured mentor response</t>
  </si>
  <si>
    <t>MTC034: should return profile inside api response envelope</t>
  </si>
  <si>
    <t>MTC035: should allow development frontend cors for profile and dashboard routes</t>
  </si>
  <si>
    <t>MTC036: should return api response envelope when demo identity is disabled</t>
  </si>
  <si>
    <t>MTC037: should validate profile update request</t>
  </si>
  <si>
    <t>MTC038: should update profile through service and return envelope</t>
  </si>
  <si>
    <t>MTC039: should return only active skill catalog response</t>
  </si>
  <si>
    <t>MTC040: should reject inactive skill catalog request</t>
  </si>
  <si>
    <t>MTC071: mentor profile uses owning user id as primary key</t>
  </si>
  <si>
    <t>MTC072: mentor skill uses embedded key and maps both relationships</t>
  </si>
  <si>
    <t>MTC073: mentor skill id uses both keys for equality</t>
  </si>
  <si>
    <t>MTC074: skill entity maps the active flag from the existing catalog table</t>
  </si>
  <si>
    <t>MTC075: profile request rejects biography shorter than schema minimum</t>
  </si>
  <si>
    <t>MTC076: profile request rejects biography whose trimmed length is below schema minimum</t>
  </si>
  <si>
    <t>MTC077: profile request accepts valid profile data</t>
  </si>
  <si>
    <t>MTC078: profile request rejects experience above schema limit</t>
  </si>
  <si>
    <t>MTC079: profile request rejects non http professional links</t>
  </si>
  <si>
    <t>MTC080: profile request requires at least one skill</t>
  </si>
  <si>
    <t>MTC081: get profile combines account profile and active skills</t>
  </si>
  <si>
    <t>MTC082: disabled demo identity fails before accessing repositories</t>
  </si>
  <si>
    <t>MTC083: missing demo user id fails closed</t>
  </si>
  <si>
    <t>MTC084: demo identity must belong to an active mentor</t>
  </si>
  <si>
    <t>MTC085: rejects invalid skill selection before changing profile fields</t>
  </si>
  <si>
    <t>MTC086: rejects duplicate skill ids before repository writes</t>
  </si>
  <si>
    <t>MTC087: lists only skills returned by active catalog query</t>
  </si>
  <si>
    <t>MTC088: updates profile and synchronizes only active skill links</t>
  </si>
  <si>
    <t>MTC094: active mentor skill query filters inactive catalog skills</t>
  </si>
  <si>
    <t>MTC125: rolls back account and profile when skill synchronization fails</t>
  </si>
  <si>
    <t>MTC131: resolves dashboard identity from logged in mentor without demo flag</t>
  </si>
  <si>
    <t>MTC132: rejects non mentor session even when demo would otherwise apply</t>
  </si>
  <si>
    <t>MTC133: unauthenticated request without demo enabled is unavailable</t>
  </si>
  <si>
    <t>MTC154: profile page loads real backend data without a development preview notice</t>
  </si>
  <si>
    <t>Expected outcome is verified: Assertions hold: should return featured mentors.</t>
  </si>
  <si>
    <t>Expected outcome is verified: Assertions hold: should filter by keyword skill experience price and rating.</t>
  </si>
  <si>
    <t>Expected outcome is verified: Assertions hold: should return empty list when no mentor matches.</t>
  </si>
  <si>
    <t>Expected outcome is verified: Assertions hold: profile endpoints declare read and write transactions.</t>
  </si>
  <si>
    <t>Expected outcome is verified: Assertions hold: should preserve featured mentor response.</t>
  </si>
  <si>
    <t>Expected outcome is verified: Assertions hold: should return profile inside api response envelope.</t>
  </si>
  <si>
    <t>Expected outcome is verified: Assertions hold: should allow development frontend cors for profile and dashboard routes.</t>
  </si>
  <si>
    <t>Expected outcome is verified: Assertions hold: should return api response envelope when demo identity is disabled.</t>
  </si>
  <si>
    <t>Expected outcome is verified: Assertions hold: should validate profile update request.</t>
  </si>
  <si>
    <t>Expected outcome is verified: Assertions hold: should update profile through service and return envelope.</t>
  </si>
  <si>
    <t>Expected outcome is verified: Assertions hold: should return only active skill catalog response.</t>
  </si>
  <si>
    <t>Expected outcome is verified: Assertions hold: should reject inactive skill catalog request.</t>
  </si>
  <si>
    <t>Expected outcome is verified: Assertions hold: mentor profile uses owning user id as primary key.</t>
  </si>
  <si>
    <t>Expected outcome is verified: Assertions hold: mentor skill uses embedded key and maps both relationships.</t>
  </si>
  <si>
    <t>Expected outcome is verified: Assertions hold: mentor skill id uses both keys for equality.</t>
  </si>
  <si>
    <t>Expected outcome is verified: Assertions hold: skill entity maps the active flag from the existing catalog table.</t>
  </si>
  <si>
    <t>Expected outcome is verified: Assertions hold: profile request rejects biography shorter than schema minimum.</t>
  </si>
  <si>
    <t>Expected outcome is verified: Assertions hold: profile request rejects biography whose trimmed length is below schema minimum.</t>
  </si>
  <si>
    <t>Expected outcome is verified: Assertions hold: profile request accepts valid profile data.</t>
  </si>
  <si>
    <t>Expected outcome is verified: Assertions hold: profile request rejects experience above schema limit.</t>
  </si>
  <si>
    <t>Expected outcome is verified: Assertions hold: profile request rejects non http professional links.</t>
  </si>
  <si>
    <t>Expected outcome is verified: Assertions hold: profile request requires at least one skill.</t>
  </si>
  <si>
    <t>Expected outcome is verified: Assertions hold: get profile combines account profile and active skills.</t>
  </si>
  <si>
    <t>Expected outcome is verified: Assertions hold: disabled demo identity fails before accessing repositories.</t>
  </si>
  <si>
    <t>Expected outcome is verified: Assertions hold: missing demo user id fails closed.</t>
  </si>
  <si>
    <t>Expected outcome is verified: Assertions hold: demo identity must belong to an active mentor.</t>
  </si>
  <si>
    <t>Expected outcome is verified: Assertions hold: rejects invalid skill selection before changing profile fields.</t>
  </si>
  <si>
    <t>Expected outcome is verified: Assertions hold: rejects duplicate skill ids before repository writes.</t>
  </si>
  <si>
    <t>Expected outcome is verified: Assertions hold: lists only skills returned by active catalog query.</t>
  </si>
  <si>
    <t>Expected outcome is verified: Assertions hold: updates profile and synchronizes only active skill links.</t>
  </si>
  <si>
    <t>Expected outcome is verified: Assertions hold: active mentor skill query filters inactive catalog skills.</t>
  </si>
  <si>
    <t>Expected outcome is verified: Skipped: @EnabledIfEnvironmentVariable DB_PASSWORD not set - not executed.</t>
  </si>
  <si>
    <t>Expected outcome is verified: Assertions hold: resolves dashboard identity from logged in mentor without demo flag.</t>
  </si>
  <si>
    <t>Expected outcome is verified: Assertions hold: rejects non mentor session even when demo would otherwise apply.</t>
  </si>
  <si>
    <t>Expected outcome is verified: Assertions hold: unauthenticated request without demo enabled is unavailable.</t>
  </si>
  <si>
    <t>Expected outcome is verified: Assertions hold: profile page loads real backend data without a development preview notice.</t>
  </si>
  <si>
    <t>U</t>
  </si>
  <si>
    <t>Manage mentor service offerings and selected package price [No dedicated UC]</t>
  </si>
  <si>
    <t>MTC025: get my plans returns the standard envelope</t>
  </si>
  <si>
    <t>MTC026: get mentor plans returns only active public packages</t>
  </si>
  <si>
    <t>MTC027: get mentor offerings returns active public offerings</t>
  </si>
  <si>
    <t>MTC028: save plans persists the tier set</t>
  </si>
  <si>
    <t>MTC029: save plans rejects invalid tier payload</t>
  </si>
  <si>
    <t>MTC030: storage failure returns generic retryable service error</t>
  </si>
  <si>
    <t>MTC031: inactive mentor conflict is propagated</t>
  </si>
  <si>
    <t>MTC139: selected offering id freezes that tier and its price</t>
  </si>
  <si>
    <t>MTC140: does not guess when multiple packages exist and client omits selection</t>
  </si>
  <si>
    <t>MTC141: rejects selected offering that is not active for the mentor</t>
  </si>
  <si>
    <t>MTC161: packages module renders one card per tier with enable toggles</t>
  </si>
  <si>
    <t>Expected outcome is verified: Assertions hold: get my plans returns the standard envelope.</t>
  </si>
  <si>
    <t>Expected outcome is verified: Assertions hold: get mentor plans returns only active public packages.</t>
  </si>
  <si>
    <t>Expected outcome is verified: Assertions hold: get mentor offerings returns active public offerings.</t>
  </si>
  <si>
    <t>Expected outcome is verified: Assertions hold: save plans persists the tier set.</t>
  </si>
  <si>
    <t>Expected outcome is verified: Assertions hold: save plans rejects invalid tier payload.</t>
  </si>
  <si>
    <t>Expected outcome is verified: Assertions hold: storage failure returns generic retryable service error.</t>
  </si>
  <si>
    <t>Expected outcome is verified: Assertions hold: inactive mentor conflict is propagated.</t>
  </si>
  <si>
    <t>Expected outcome is verified: Assertions hold: selected offering id freezes that tier and its price.</t>
  </si>
  <si>
    <t>Expected outcome is verified: Assertions hold: does not guess when multiple packages exist and client omits selection.</t>
  </si>
  <si>
    <t>Expected outcome is verified: Assertions hold: rejects selected offering that is not active for the mentor.</t>
  </si>
  <si>
    <t>Expected outcome is verified: Assertions hold: packages module renders one card per tier with enable toggles.</t>
  </si>
  <si>
    <t>View mentor request, notice, rating and earnings overview [No dedicated UC]</t>
  </si>
  <si>
    <t>MTC020: dashboard returns the standard envelope and all sections</t>
  </si>
  <si>
    <t>MTC023: dashboard data access failure returns generic retryable service error</t>
  </si>
  <si>
    <t>MTC089: earnings query uses successful refunds and the per payment commission snapshot</t>
  </si>
  <si>
    <t>MTC093: notice query is bounded and uses current refund state timestamps</t>
  </si>
  <si>
    <t>MTC106: dashboard aggregates only server resolved mentor metrics and records</t>
  </si>
  <si>
    <t>MTC111: dashboard does not suppress persistence failures</t>
  </si>
  <si>
    <t>MTC113: disabled mentor identity fails before dashboard queries</t>
  </si>
  <si>
    <t>MTC115: notice projection becomes utc current state summary</t>
  </si>
  <si>
    <t>MTC150: formats VND earnings as whole dong without fractional decimals</t>
  </si>
  <si>
    <t>MTC151: formats remaining SLA time against an injectable current time</t>
  </si>
  <si>
    <t>MTC152: bounds long learning goal summaries and handles empty goals</t>
  </si>
  <si>
    <t>MTC153: metric card escapes text that may originate in dashboard data</t>
  </si>
  <si>
    <t>MTC165: getMyDashboard reads the current mentor dashboard endpoint</t>
  </si>
  <si>
    <t>Expected outcome is verified: Assertions hold: dashboard returns the standard envelope and all sections.</t>
  </si>
  <si>
    <t>Expected outcome is verified: Assertions hold: dashboard data access failure returns generic retryable service error.</t>
  </si>
  <si>
    <t>Expected outcome is verified: Assertions hold: earnings query uses successful refunds and the per payment commission snapshot.</t>
  </si>
  <si>
    <t>Expected outcome is verified: Assertions hold: notice query is bounded and uses current refund state timestamps.</t>
  </si>
  <si>
    <t>Expected outcome is verified: Assertions hold: dashboard aggregates only server resolved mentor metrics and records.</t>
  </si>
  <si>
    <t>Expected outcome is verified: Assertions hold: dashboard does not suppress persistence failures.</t>
  </si>
  <si>
    <t>Expected outcome is verified: Assertions hold: disabled mentor identity fails before dashboard queries.</t>
  </si>
  <si>
    <t>Expected outcome is verified: Assertions hold: notice projection becomes utc current state summary.</t>
  </si>
  <si>
    <t>Expected outcome is verified: Assertions hold: formats VND earnings as whole dong without fractional decimals.</t>
  </si>
  <si>
    <t>Expected outcome is verified: Assertions hold: formats remaining SLA time against an injectable current time.</t>
  </si>
  <si>
    <t>Expected outcome is verified: Assertions hold: bounds long learning goal summaries and handles empty goals.</t>
  </si>
  <si>
    <t>Expected outcome is verified: Assertions hold: metric card escapes text that may originate in dashboard data.</t>
  </si>
  <si>
    <t>Expected outcome is verified: Assertions hold: getMyDashboard reads the current mentor dashboard endpoint.</t>
  </si>
  <si>
    <t>View and accept or reject pending mentorship requests [UC26]</t>
  </si>
  <si>
    <t>MTC021: request decision accepts only validated decision values</t>
  </si>
  <si>
    <t>MTC022: decision conflict does not expose ownership</t>
  </si>
  <si>
    <t>MTC024: request decision rejects non positive path identifier</t>
  </si>
  <si>
    <t>MTC051: create one off returns created and delegates to the service</t>
  </si>
  <si>
    <t>MTC052: create one off rejects a short agenda</t>
  </si>
  <si>
    <t>MTC053: create one off requires an offering id</t>
  </si>
  <si>
    <t>MTC054: create one off rejects an invalid experience level</t>
  </si>
  <si>
    <t>MTC055: create one off requires terms version</t>
  </si>
  <si>
    <t>MTC056: creates request pending mentor decision</t>
  </si>
  <si>
    <t>MTC057: rejects short learning goals</t>
  </si>
  <si>
    <t>MTC058: rejects unknown experience level</t>
  </si>
  <si>
    <t>MTC059: unpublished package conflict is propagated</t>
  </si>
  <si>
    <t>MTC060: anonymous request is rejected</t>
  </si>
  <si>
    <t>MTC061: cancels an application</t>
  </si>
  <si>
    <t>MTC062: loads checkout info for accepted request</t>
  </si>
  <si>
    <t>MTC063: starts pending sepay checkout</t>
  </si>
  <si>
    <t>MTC064: lists my applications with status filter and pagination</t>
  </si>
  <si>
    <t>MTC091: pending request query scopes the mentor and pending state</t>
  </si>
  <si>
    <t>MTC092: decision query is one owner and deadline guarded transition</t>
  </si>
  <si>
    <t>MTC108: decision uses only configured identity and returns persisted decision</t>
  </si>
  <si>
    <t>MTC109: accepting a request notifies the mentee with payment next step</t>
  </si>
  <si>
    <t>MTC110: stale or foreign request decision returns opaque conflict without reloading</t>
  </si>
  <si>
    <t>MTC112: mentor request history returns persisted accepted and rejected rows</t>
  </si>
  <si>
    <t>MTC114: rejected decision returns the persisted state</t>
  </si>
  <si>
    <t>MTC116: accepts only an unexpired pending owned request without creating financial records</t>
  </si>
  <si>
    <t>MTC117: notice projection executes within mentor scope and returns at most ten rows</t>
  </si>
  <si>
    <t>MTC142: cancels owned accepted application without succeeded payment and notifies mentor</t>
  </si>
  <si>
    <t>MTC143: refuses cancellation when payment is succeeded</t>
  </si>
  <si>
    <t>MTC155: requests page exposes persisted request history, status filtering, and the shared details modal</t>
  </si>
  <si>
    <t>MTC166: getMyRequests reads persisted request history</t>
  </si>
  <si>
    <t>MTC167: decideOnRequest sends the decision with a CSRF header</t>
  </si>
  <si>
    <t>MTC168: decideOnRequest does not send a decision when the CSRF token is unavailable</t>
  </si>
  <si>
    <t>MTC169: decision service rejects invalid decisions before issuing a request</t>
  </si>
  <si>
    <t>Expected outcome is verified: Assertions hold: request decision accepts only validated decision values.</t>
  </si>
  <si>
    <t>Expected outcome is verified: Assertions hold: decision conflict does not expose ownership.</t>
  </si>
  <si>
    <t>Expected outcome is verified: Assertions hold: request decision rejects non positive path identifier.</t>
  </si>
  <si>
    <t>Expected outcome is verified: Assertions hold: create one off returns created and delegates to the service.</t>
  </si>
  <si>
    <t>Expected outcome is verified: Assertions hold: create one off rejects a short agenda.</t>
  </si>
  <si>
    <t>Expected outcome is verified: Assertions hold: create one off requires an offering id.</t>
  </si>
  <si>
    <t>Expected outcome is verified: Assertions hold: create one off rejects an invalid experience level.</t>
  </si>
  <si>
    <t>Expected outcome is verified: Assertions hold: create one off requires terms version.</t>
  </si>
  <si>
    <t>Expected outcome is verified: Assertions hold: creates request pending mentor decision.</t>
  </si>
  <si>
    <t>Expected outcome is verified: Assertions hold: rejects short learning goals.</t>
  </si>
  <si>
    <t>Expected outcome is verified: Assertions hold: rejects unknown experience level.</t>
  </si>
  <si>
    <t>Expected outcome is verified: Assertions hold: unpublished package conflict is propagated.</t>
  </si>
  <si>
    <t>Expected outcome is verified: Assertions hold: anonymous request is rejected.</t>
  </si>
  <si>
    <t>Expected outcome is verified: Assertions hold: cancels an application.</t>
  </si>
  <si>
    <t>Expected outcome is verified: Assertions hold: loads checkout info for accepted request.</t>
  </si>
  <si>
    <t>Expected outcome is verified: Assertions hold: starts pending sepay checkout.</t>
  </si>
  <si>
    <t>Expected outcome is verified: Assertions hold: lists my applications with status filter and pagination.</t>
  </si>
  <si>
    <t>Expected outcome is verified: Assertions hold: pending request query scopes the mentor and pending state.</t>
  </si>
  <si>
    <t>Expected outcome is verified: Assertions hold: decision query is one owner and deadline guarded transition.</t>
  </si>
  <si>
    <t>Expected outcome is verified: Assertions hold: decision uses only configured identity and returns persisted decision.</t>
  </si>
  <si>
    <t>Expected outcome is verified: Assertions hold: accepting a request notifies the mentee with payment next step.</t>
  </si>
  <si>
    <t>Expected outcome is verified: Assertions hold: stale or foreign request decision returns opaque conflict without reloading.</t>
  </si>
  <si>
    <t>Expected outcome is verified: Assertions hold: mentor request history returns persisted accepted and rejected rows.</t>
  </si>
  <si>
    <t>Expected outcome is verified: Assertions hold: rejected decision returns the persisted state.</t>
  </si>
  <si>
    <t>Expected outcome is verified: Skipped: @EnabledIfSystemProperty hpms.dashboard.integration=true not set - not executed.</t>
  </si>
  <si>
    <t>Expected outcome is verified: Assertions hold: cancels owned accepted application without succeeded payment and notifies mentor.</t>
  </si>
  <si>
    <t>Expected outcome is verified: Assertions hold: refuses cancellation when payment is succeeded.</t>
  </si>
  <si>
    <t>Expected outcome is verified: Assertions hold: requests page exposes persisted request history, status filtering, and the shared details modal.</t>
  </si>
  <si>
    <t>Expected outcome is verified: Assertions hold: getMyRequests reads persisted request history.</t>
  </si>
  <si>
    <t>Expected outcome is verified: Assertions hold: decideOnRequest sends the decision with a CSRF header.</t>
  </si>
  <si>
    <t>Expected outcome is verified: Assertions hold: decideOnRequest does not send a decision when the CSRF token is unavailable.</t>
  </si>
  <si>
    <t>Expected outcome is verified: Assertions hold: decision service rejects invalid decisions before issuing a request.</t>
  </si>
  <si>
    <t>Access active mentorship workspace, messages and files [UC32–33]</t>
  </si>
  <si>
    <t>MTC065: lists active workspaces</t>
  </si>
  <si>
    <t>MTC066: sends validated message</t>
  </si>
  <si>
    <t>MTC067: rejects blank message</t>
  </si>
  <si>
    <t>MTC068: uploads workspace file</t>
  </si>
  <si>
    <t>MTC069: downloads authorized workspace file as attachment</t>
  </si>
  <si>
    <t>MTC070: marks workspace messages as read</t>
  </si>
  <si>
    <t>MTC095: counts and marks unread messages for only the selected member</t>
  </si>
  <si>
    <t>MTC144: lists only rows returned for current member</t>
  </si>
  <si>
    <t>MTC145: rejects an authenticated non member</t>
  </si>
  <si>
    <t>MTC146: repeated client key returns existing message without another insert</t>
  </si>
  <si>
    <t>MTC147: uploads supported file into the member conversation</t>
  </si>
  <si>
    <t>MTC148: rejects executable workspace file</t>
  </si>
  <si>
    <t>MTC149: marks only the current members conversation as read</t>
  </si>
  <si>
    <t>MTC159: all mentor workspace routes share the operational shell and select their own navigation item</t>
  </si>
  <si>
    <t>Expected outcome is verified: Assertions hold: lists active workspaces.</t>
  </si>
  <si>
    <t>Expected outcome is verified: Assertions hold: sends validated message.</t>
  </si>
  <si>
    <t>Expected outcome is verified: Assertions hold: rejects blank message.</t>
  </si>
  <si>
    <t>Expected outcome is verified: Assertions hold: uploads workspace file.</t>
  </si>
  <si>
    <t>Expected outcome is verified: Assertions hold: downloads authorized workspace file as attachment.</t>
  </si>
  <si>
    <t>Expected outcome is verified: Assertions hold: marks workspace messages as read.</t>
  </si>
  <si>
    <t>Expected outcome is verified: Skipped: conditional integration test (repository DB gate) - not executed.</t>
  </si>
  <si>
    <t>Expected outcome is verified: Assertions hold: lists only rows returned for current member.</t>
  </si>
  <si>
    <t>Expected outcome is verified: Assertions hold: rejects an authenticated non member.</t>
  </si>
  <si>
    <t>Expected outcome is verified: Assertions hold: repeated client key returns existing message without another insert.</t>
  </si>
  <si>
    <t>Expected outcome is verified: Assertions hold: uploads supported file into the member conversation.</t>
  </si>
  <si>
    <t>Expected outcome is verified: Assertions hold: rejects executable workspace file.</t>
  </si>
  <si>
    <t>Expected outcome is verified: Assertions hold: marks only the current members conversation as read.</t>
  </si>
  <si>
    <t>Expected outcome is verified: Assertions hold: all mentor workspace routes share the operational shell and select their own navigation item.</t>
  </si>
  <si>
    <t>Review wallet and request OTP-protected payout [No dedicated UC]</t>
  </si>
  <si>
    <t>MTC044: get bank account returns the saved destination</t>
  </si>
  <si>
    <t>MTC045: save bank account persists the destination</t>
  </si>
  <si>
    <t>MTC046: save bank account rejects an invalid account number</t>
  </si>
  <si>
    <t>MTC047: request payout otp sends a code</t>
  </si>
  <si>
    <t>MTC048: submit payout delegates to the otp gated service</t>
  </si>
  <si>
    <t>MTC049: submit payout rejects a malformed otp</t>
  </si>
  <si>
    <t>MTC050: insufficient balance conflict is propagated</t>
  </si>
  <si>
    <t>MTC118: save bank account encrypts the number and masks it on read</t>
  </si>
  <si>
    <t>MTC119: bank account is empty before the mentor saves one</t>
  </si>
  <si>
    <t>MTC120: request payout otp requires a saved bank account</t>
  </si>
  <si>
    <t>MTC121: submit payout requires a saved bank account</t>
  </si>
  <si>
    <t>MTC122: submit payout rejects when no code was ever requested</t>
  </si>
  <si>
    <t>MTC123: submit payout rejects an invalid code</t>
  </si>
  <si>
    <t>MTC124: submit payout verifies the code before enforcing the available balance</t>
  </si>
  <si>
    <t>MTC134: splits gross payment using saved commission and whole vnd rounding</t>
  </si>
  <si>
    <t>MTC135: rounds fractional commission once and preserves gross total</t>
  </si>
  <si>
    <t>MTC136: payout account encryption uses authenticated ciphertext and random nonce</t>
  </si>
  <si>
    <t>MTC137: payout details fail closed without configured encryption key</t>
  </si>
  <si>
    <t>MTC138: masks mentor email before echoing it to the client</t>
  </si>
  <si>
    <t>MTC156: mentor wallet page explains the hold, available funds and payout flow</t>
  </si>
  <si>
    <t>MTC157: mentor wallet page exposes saved bank account management and OTP verification</t>
  </si>
  <si>
    <t>MTC172: payout request fetches a CSRF token before posting bank details</t>
  </si>
  <si>
    <t>Expected outcome is verified: Assertions hold: get bank account returns the saved destination.</t>
  </si>
  <si>
    <t>Expected outcome is verified: Assertions hold: save bank account persists the destination.</t>
  </si>
  <si>
    <t>Expected outcome is verified: Assertions hold: save bank account rejects an invalid account number.</t>
  </si>
  <si>
    <t>Expected outcome is verified: Assertions hold: request payout otp sends a code.</t>
  </si>
  <si>
    <t>Expected outcome is verified: Assertions hold: submit payout delegates to the otp gated service.</t>
  </si>
  <si>
    <t>Expected outcome is verified: Assertions hold: submit payout rejects a malformed otp.</t>
  </si>
  <si>
    <t>Expected outcome is verified: Assertions hold: insufficient balance conflict is propagated.</t>
  </si>
  <si>
    <t>Expected outcome is verified: Assertions hold: save bank account encrypts the number and masks it on read.</t>
  </si>
  <si>
    <t>Expected outcome is verified: Assertions hold: bank account is empty before the mentor saves one.</t>
  </si>
  <si>
    <t>Expected outcome is verified: Assertions hold: request payout otp requires a saved bank account.</t>
  </si>
  <si>
    <t>Expected outcome is verified: Assertions hold: submit payout requires a saved bank account.</t>
  </si>
  <si>
    <t>Expected outcome is verified: Assertions hold: submit payout rejects when no code was ever requested.</t>
  </si>
  <si>
    <t>Expected outcome is verified: Assertions hold: submit payout rejects an invalid code.</t>
  </si>
  <si>
    <t>Expected outcome is verified: Assertions hold: submit payout verifies the code before enforcing the available balance.</t>
  </si>
  <si>
    <t>Expected outcome is verified: Assertions hold: splits gross payment using saved commission and whole vnd rounding.</t>
  </si>
  <si>
    <t>Expected outcome is verified: Assertions hold: rounds fractional commission once and preserves gross total.</t>
  </si>
  <si>
    <t>Expected outcome is verified: Assertions hold: payout account encryption uses authenticated ciphertext and random nonce.</t>
  </si>
  <si>
    <t>Expected outcome is verified: Assertions hold: payout details fail closed without configured encryption key.</t>
  </si>
  <si>
    <t>Expected outcome is verified: Assertions hold: masks mentor email before echoing it to the client.</t>
  </si>
  <si>
    <t>Expected outcome is verified: Assertions hold: mentor wallet page explains the hold, available funds and payout flow.</t>
  </si>
  <si>
    <t>Expected outcome is verified: Assertions hold: mentor wallet page exposes saved bank account management and OTP verification.</t>
  </si>
  <si>
    <t>Expected outcome is verified: Assertions hold: payout request fetches a CSRF token before posting bank details.</t>
  </si>
  <si>
    <t>View net earnings, rating summary and mentee feedback [UC28 / UC35]</t>
  </si>
  <si>
    <t>MTC041: get my reviews returns summary and cards</t>
  </si>
  <si>
    <t>MTC042: get my reviews uses default paging</t>
  </si>
  <si>
    <t>MTC043: get my reviews honors paging params</t>
  </si>
  <si>
    <t>MTC090: rating query excludes hidden and flagged reviews</t>
  </si>
  <si>
    <t>MTC107: empty dashboard uses zero earnings and an explicit missing rating value</t>
  </si>
  <si>
    <t>MTC126: returns summary and current page</t>
  </si>
  <si>
    <t>MTC127: clamps negative page and default size</t>
  </si>
  <si>
    <t>MTC128: caps page size at maximum</t>
  </si>
  <si>
    <t>MTC129: returns empty summary without querying items when no reviews</t>
  </si>
  <si>
    <t>MTC130: returns empty items when page is beyond total</t>
  </si>
  <si>
    <t>MTC158: mentor wallet page renders the read-only mentee feedback section</t>
  </si>
  <si>
    <t>MTC170: getMyReviews requests the paged mentor review endpoint and normalizes the payload</t>
  </si>
  <si>
    <t>MTC171: getMyReviews defaults to page 0 and size 10 and tolerates an empty response</t>
  </si>
  <si>
    <t>Expected outcome is verified: Assertions hold: get my reviews returns summary and cards.</t>
  </si>
  <si>
    <t>Expected outcome is verified: Assertions hold: get my reviews uses default paging.</t>
  </si>
  <si>
    <t>Expected outcome is verified: Assertions hold: get my reviews honors paging params.</t>
  </si>
  <si>
    <t>Expected outcome is verified: Assertions hold: rating query excludes hidden and flagged reviews.</t>
  </si>
  <si>
    <t>Expected outcome is verified: Assertions hold: empty dashboard uses zero earnings and an explicit missing rating value.</t>
  </si>
  <si>
    <t>Expected outcome is verified: Assertions hold: returns summary and current page.</t>
  </si>
  <si>
    <t>Expected outcome is verified: Assertions hold: clamps negative page and default size.</t>
  </si>
  <si>
    <t>Expected outcome is verified: Assertions hold: caps page size at maximum.</t>
  </si>
  <si>
    <t>Expected outcome is verified: Assertions hold: returns empty summary without querying items when no reviews.</t>
  </si>
  <si>
    <t>Expected outcome is verified: Assertions hold: returns empty items when page is beyond total.</t>
  </si>
  <si>
    <t>Expected outcome is verified: Assertions hold: mentor wallet page renders the read-only mentee feedback section.</t>
  </si>
  <si>
    <t>Expected outcome is verified: Assertions hold: getMyReviews requests the paged mentor review endpoint and normalizes the payload.</t>
  </si>
  <si>
    <t>Expected outcome is verified: Assertions hold: getMyReviews defaults to page 0 and size 10 and tolerates an empty response.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</si>
</sst>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mm/dd"/>
  </numFmts>
  <fonts count="37" x14ac:knownFonts="1">
    <font>
      <sz val="11"/>
      <color theme="1"/>
      <name val="MS PGothic"/>
      <family val="2"/>
      <scheme val="minor"/>
    </font>
    <font>
      <b/>
      <sz val="18"/>
      <color theme="1"/>
      <name val="Tahoma"/>
    </font>
    <font>
      <b/>
      <sz val="11"/>
      <color theme="1"/>
      <name val="Tahoma"/>
    </font>
    <font>
      <b/>
      <sz val="12"/>
      <color theme="1"/>
      <name val="Tahoma"/>
    </font>
    <font>
      <b/>
      <sz val="14"/>
      <color theme="1"/>
      <name val="Tahoma"/>
    </font>
    <font>
      <sz val="10"/>
      <color theme="1"/>
      <name val="Tahoma"/>
    </font>
    <font>
      <sz val="11"/>
      <color theme="1"/>
      <name val="Tahoma"/>
    </font>
    <font>
      <i/>
      <sz val="10"/>
      <color theme="1"/>
      <name val="Tahoma"/>
    </font>
    <font>
      <i/>
      <sz val="11"/>
      <color theme="1"/>
      <name val="Tahoma"/>
    </font>
    <font>
      <b/>
      <sz val="10"/>
      <color theme="1"/>
      <name val="Tahoma"/>
    </font>
    <font>
      <b/>
      <sz val="16"/>
      <color rgb="FF000000"/>
      <name val="Tahoma"/>
    </font>
    <font>
      <sz val="11"/>
      <color theme="1"/>
      <name val="MS PGothic"/>
      <family val="2"/>
      <scheme val="minor"/>
    </font>
    <font>
      <i/>
      <sz val="10"/>
      <color rgb="FF008000"/>
      <name val="Tahoma"/>
    </font>
    <font>
      <b/>
      <sz val="10"/>
      <color rgb="FF993300"/>
      <name val="Tahoma"/>
    </font>
    <font>
      <b/>
      <sz val="10"/>
      <color rgb="FFFFFFFF"/>
      <name val="Tahoma"/>
    </font>
    <font>
      <sz val="10"/>
      <color rgb="FF000000"/>
      <name val="Tahoma"/>
    </font>
    <font>
      <b/>
      <sz val="20"/>
      <color rgb="FF000000"/>
      <name val="Tahoma"/>
    </font>
    <font>
      <b/>
      <sz val="10"/>
      <color rgb="FF000000"/>
      <name val="Tahoma"/>
    </font>
    <font>
      <b/>
      <sz val="10"/>
      <color rgb="FFFF0000"/>
      <name val="Tahoma"/>
    </font>
    <font>
      <sz val="11"/>
      <color rgb="FF000000"/>
      <name val="Arial"/>
    </font>
    <font>
      <u/>
      <sz val="10"/>
      <color rgb="FF000000"/>
      <name val="Tahoma"/>
    </font>
    <font>
      <u/>
      <sz val="10"/>
      <color rgb="FF0000FF"/>
      <name val="Tahoma"/>
    </font>
    <font>
      <sz val="11"/>
      <color theme="1"/>
      <name val="MS PGothic"/>
    </font>
    <font>
      <b/>
      <sz val="10"/>
      <name val="Tahoma"/>
    </font>
    <font>
      <sz val="11"/>
      <color theme="1"/>
      <name val="Calibri"/>
    </font>
    <font>
      <sz val="11"/>
      <color theme="1"/>
      <name val="Calibri"/>
      <family val="2"/>
    </font>
    <font>
      <b/>
      <sz val="10"/>
      <color rgb="FF000000"/>
      <name val="Calibri"/>
    </font>
    <font>
      <b/>
      <u/>
      <sz val="10"/>
      <color rgb="FF000000"/>
      <name val="Tahoma"/>
    </font>
    <font>
      <sz val="10"/>
      <color rgb="FFFFFFFF"/>
      <name val="Tahoma"/>
    </font>
    <font>
      <b/>
      <sz val="11"/>
      <color rgb="FFFFFFFF"/>
      <name val="Tahoma"/>
    </font>
    <font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sz val="10"/>
      <color rgb="FFFFFFFF"/>
      <name val="Arial"/>
    </font>
    <font>
      <b/>
      <sz val="10"/>
      <color rgb="FFFFFFFF"/>
      <name val="Arial"/>
    </font>
    <font>
      <u/>
      <sz val="10"/>
      <color rgb="FF000000"/>
      <name val="Arial"/>
    </font>
    <font>
      <sz val="11"/>
      <color rgb="FF000000"/>
      <name val="Tahoma"/>
    </font>
  </fonts>
  <fills count="10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rgb="FFFFFFFF"/>
      </patternFill>
    </fill>
    <fill>
      <patternFill patternType="solid">
        <f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333399"/>
        <bgColor rgb="FF333399"/>
      </patternFill>
    </fill>
    <fill>
      <patternFill patternType="solid">
        <fgColor rgb="FFE0E0E0"/>
        <bgColor rgb="FFE0E0E0"/>
      </patternFill>
    </fill>
    <fill>
      <patternFill patternType="solid">
        <fgColor theme="0"/>
        <bgColor indexed="64"/>
      </patternFill>
    </fill>
    <fill>
      <patternFill patternType="solid">
        <fgColor rgb="FFFFFF00"/>
      </patternFill>
    </fill>
  </fills>
  <borders count="6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 style="medium">
        <color rgb="FFFFFFFF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238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horizontal="left"/>
    </xf>
    <xf numFmtId="0" fontId="6" fillId="2" borderId="0" xfId="0" applyFont="1" applyFill="1" applyAlignment="1">
      <alignment vertical="center"/>
    </xf>
    <xf numFmtId="0" fontId="5" fillId="2" borderId="0" xfId="0" applyFont="1" applyFill="1" applyAlignment="1">
      <alignment horizontal="left" wrapText="1"/>
    </xf>
    <xf numFmtId="0" fontId="7" fillId="2" borderId="0" xfId="0" applyFont="1" applyFill="1" applyAlignment="1">
      <alignment horizontal="left"/>
    </xf>
    <xf numFmtId="0" fontId="8" fillId="2" borderId="0" xfId="0" applyFont="1" applyFill="1" applyAlignment="1">
      <alignment vertical="center"/>
    </xf>
    <xf numFmtId="0" fontId="9" fillId="2" borderId="0" xfId="0" applyFont="1" applyFill="1" applyAlignment="1">
      <alignment horizontal="left"/>
    </xf>
    <xf numFmtId="0" fontId="3" fillId="2" borderId="0" xfId="0" applyFont="1" applyFill="1" applyAlignment="1">
      <alignment vertical="center"/>
    </xf>
    <xf numFmtId="0" fontId="5" fillId="0" borderId="0" xfId="0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9" fillId="3" borderId="1" xfId="0" applyFont="1" applyFill="1" applyBorder="1" applyAlignment="1">
      <alignment horizontal="left"/>
    </xf>
    <xf numFmtId="0" fontId="5" fillId="0" borderId="8" xfId="0" applyFont="1" applyBorder="1"/>
    <xf numFmtId="0" fontId="9" fillId="3" borderId="1" xfId="0" applyFont="1" applyFill="1" applyBorder="1" applyAlignment="1">
      <alignment horizontal="left" vertical="center"/>
    </xf>
    <xf numFmtId="14" fontId="7" fillId="0" borderId="8" xfId="0" applyNumberFormat="1" applyFont="1" applyBorder="1"/>
    <xf numFmtId="0" fontId="7" fillId="0" borderId="8" xfId="0" applyFont="1" applyBorder="1" applyAlignment="1">
      <alignment horizontal="left"/>
    </xf>
    <xf numFmtId="0" fontId="9" fillId="0" borderId="0" xfId="0" applyFont="1"/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15" fontId="14" fillId="4" borderId="10" xfId="0" applyNumberFormat="1" applyFont="1" applyFill="1" applyBorder="1" applyAlignment="1">
      <alignment horizontal="center" vertical="center" wrapText="1"/>
    </xf>
    <xf numFmtId="0" fontId="14" fillId="4" borderId="10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14" fontId="15" fillId="0" borderId="10" xfId="0" applyNumberFormat="1" applyFont="1" applyBorder="1" applyAlignment="1">
      <alignment vertical="center" wrapText="1"/>
    </xf>
    <xf numFmtId="0" fontId="15" fillId="0" borderId="10" xfId="0" applyFont="1" applyBorder="1" applyAlignment="1">
      <alignment vertical="center" wrapText="1"/>
    </xf>
    <xf numFmtId="0" fontId="5" fillId="0" borderId="0" xfId="0" applyFont="1" applyAlignment="1">
      <alignment vertical="top"/>
    </xf>
    <xf numFmtId="15" fontId="5" fillId="0" borderId="11" xfId="0" applyNumberFormat="1" applyFont="1" applyBorder="1" applyAlignment="1">
      <alignment vertical="top"/>
    </xf>
    <xf numFmtId="49" fontId="5" fillId="0" borderId="12" xfId="0" applyNumberFormat="1" applyFont="1" applyBorder="1" applyAlignment="1">
      <alignment vertical="top"/>
    </xf>
    <xf numFmtId="0" fontId="5" fillId="0" borderId="12" xfId="0" applyFont="1" applyBorder="1" applyAlignment="1">
      <alignment vertical="top"/>
    </xf>
    <xf numFmtId="0" fontId="5" fillId="0" borderId="13" xfId="0" applyFont="1" applyBorder="1" applyAlignment="1">
      <alignment vertical="top"/>
    </xf>
    <xf numFmtId="15" fontId="5" fillId="0" borderId="21" xfId="0" applyNumberFormat="1" applyFont="1" applyBorder="1" applyAlignment="1">
      <alignment vertical="top"/>
    </xf>
    <xf numFmtId="49" fontId="5" fillId="0" borderId="22" xfId="0" applyNumberFormat="1" applyFont="1" applyBorder="1" applyAlignment="1">
      <alignment vertical="top"/>
    </xf>
    <xf numFmtId="0" fontId="5" fillId="0" borderId="22" xfId="0" applyFont="1" applyBorder="1" applyAlignment="1">
      <alignment vertical="top"/>
    </xf>
    <xf numFmtId="0" fontId="5" fillId="0" borderId="23" xfId="0" applyFont="1" applyBorder="1" applyAlignment="1">
      <alignment vertical="top"/>
    </xf>
    <xf numFmtId="1" fontId="5" fillId="5" borderId="1" xfId="0" applyNumberFormat="1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horizontal="center"/>
    </xf>
    <xf numFmtId="0" fontId="16" fillId="5" borderId="0" xfId="0" applyFont="1" applyFill="1" applyAlignment="1">
      <alignment horizontal="left"/>
    </xf>
    <xf numFmtId="0" fontId="17" fillId="5" borderId="0" xfId="0" applyFont="1" applyFill="1" applyAlignment="1">
      <alignment horizontal="left"/>
    </xf>
    <xf numFmtId="0" fontId="18" fillId="5" borderId="0" xfId="0" applyFont="1" applyFill="1" applyAlignment="1">
      <alignment horizontal="left"/>
    </xf>
    <xf numFmtId="0" fontId="7" fillId="5" borderId="24" xfId="0" applyFont="1" applyFill="1" applyBorder="1" applyAlignment="1">
      <alignment horizontal="left"/>
    </xf>
    <xf numFmtId="0" fontId="7" fillId="5" borderId="7" xfId="0" applyFont="1" applyFill="1" applyBorder="1" applyAlignment="1">
      <alignment horizontal="left"/>
    </xf>
    <xf numFmtId="0" fontId="7" fillId="5" borderId="8" xfId="0" applyFont="1" applyFill="1" applyBorder="1" applyAlignment="1">
      <alignment horizontal="left"/>
    </xf>
    <xf numFmtId="0" fontId="5" fillId="5" borderId="0" xfId="0" applyFont="1" applyFill="1" applyAlignment="1">
      <alignment wrapText="1"/>
    </xf>
    <xf numFmtId="1" fontId="13" fillId="5" borderId="0" xfId="0" applyNumberFormat="1" applyFont="1" applyFill="1"/>
    <xf numFmtId="1" fontId="5" fillId="5" borderId="0" xfId="0" applyNumberFormat="1" applyFont="1" applyFill="1" applyAlignment="1">
      <alignment vertical="center"/>
    </xf>
    <xf numFmtId="0" fontId="5" fillId="5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 wrapText="1"/>
    </xf>
    <xf numFmtId="0" fontId="5" fillId="5" borderId="0" xfId="0" applyFont="1" applyFill="1" applyAlignment="1">
      <alignment vertical="center"/>
    </xf>
    <xf numFmtId="1" fontId="14" fillId="6" borderId="25" xfId="0" applyNumberFormat="1" applyFont="1" applyFill="1" applyBorder="1" applyAlignment="1">
      <alignment horizontal="center" vertical="center"/>
    </xf>
    <xf numFmtId="1" fontId="14" fillId="6" borderId="26" xfId="0" applyNumberFormat="1" applyFont="1" applyFill="1" applyBorder="1" applyAlignment="1">
      <alignment horizontal="center" vertical="center" wrapText="1"/>
    </xf>
    <xf numFmtId="1" fontId="14" fillId="6" borderId="26" xfId="0" applyNumberFormat="1" applyFont="1" applyFill="1" applyBorder="1" applyAlignment="1">
      <alignment horizontal="center" vertical="center"/>
    </xf>
    <xf numFmtId="0" fontId="14" fillId="6" borderId="27" xfId="0" applyFont="1" applyFill="1" applyBorder="1" applyAlignment="1">
      <alignment horizontal="center" vertical="center"/>
    </xf>
    <xf numFmtId="0" fontId="14" fillId="6" borderId="27" xfId="0" applyFont="1" applyFill="1" applyBorder="1" applyAlignment="1">
      <alignment horizontal="center" vertical="center" wrapText="1"/>
    </xf>
    <xf numFmtId="0" fontId="14" fillId="6" borderId="28" xfId="0" applyFont="1" applyFill="1" applyBorder="1" applyAlignment="1">
      <alignment horizontal="center" vertical="center"/>
    </xf>
    <xf numFmtId="0" fontId="14" fillId="6" borderId="29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/>
    </xf>
    <xf numFmtId="1" fontId="19" fillId="0" borderId="1" xfId="0" applyNumberFormat="1" applyFont="1" applyBorder="1" applyAlignment="1">
      <alignment vertical="top" wrapText="1"/>
    </xf>
    <xf numFmtId="49" fontId="5" fillId="5" borderId="1" xfId="0" applyNumberFormat="1" applyFont="1" applyFill="1" applyBorder="1" applyAlignment="1">
      <alignment vertical="top" wrapText="1"/>
    </xf>
    <xf numFmtId="0" fontId="20" fillId="5" borderId="1" xfId="0" applyFont="1" applyFill="1" applyBorder="1" applyAlignment="1">
      <alignment vertical="top" wrapText="1"/>
    </xf>
    <xf numFmtId="0" fontId="19" fillId="0" borderId="1" xfId="0" applyFont="1" applyBorder="1" applyAlignment="1">
      <alignment vertical="top" wrapText="1"/>
    </xf>
    <xf numFmtId="0" fontId="5" fillId="3" borderId="0" xfId="0" applyFont="1" applyFill="1"/>
    <xf numFmtId="0" fontId="9" fillId="3" borderId="0" xfId="0" applyFont="1" applyFill="1"/>
    <xf numFmtId="15" fontId="5" fillId="3" borderId="0" xfId="0" applyNumberFormat="1" applyFont="1" applyFill="1"/>
    <xf numFmtId="0" fontId="7" fillId="3" borderId="1" xfId="0" applyFont="1" applyFill="1" applyBorder="1" applyAlignment="1">
      <alignment horizontal="left"/>
    </xf>
    <xf numFmtId="0" fontId="9" fillId="3" borderId="1" xfId="0" applyFont="1" applyFill="1" applyBorder="1" applyAlignment="1">
      <alignment vertical="center"/>
    </xf>
    <xf numFmtId="0" fontId="13" fillId="3" borderId="0" xfId="0" applyFont="1" applyFill="1"/>
    <xf numFmtId="0" fontId="12" fillId="3" borderId="0" xfId="0" applyFont="1" applyFill="1"/>
    <xf numFmtId="0" fontId="21" fillId="3" borderId="0" xfId="0" applyFont="1" applyFill="1"/>
    <xf numFmtId="0" fontId="14" fillId="4" borderId="30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 wrapText="1"/>
    </xf>
    <xf numFmtId="0" fontId="14" fillId="4" borderId="32" xfId="0" applyFont="1" applyFill="1" applyBorder="1" applyAlignment="1">
      <alignment horizontal="center"/>
    </xf>
    <xf numFmtId="0" fontId="14" fillId="4" borderId="33" xfId="0" applyFont="1" applyFill="1" applyBorder="1" applyAlignment="1">
      <alignment horizontal="center" wrapText="1"/>
    </xf>
    <xf numFmtId="0" fontId="15" fillId="3" borderId="34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left" vertical="center" wrapText="1"/>
    </xf>
    <xf numFmtId="0" fontId="15" fillId="3" borderId="12" xfId="0" applyFont="1" applyFill="1" applyBorder="1" applyAlignment="1">
      <alignment horizontal="center" vertical="center" wrapText="1"/>
    </xf>
    <xf numFmtId="0" fontId="15" fillId="3" borderId="35" xfId="0" applyFont="1" applyFill="1" applyBorder="1" applyAlignment="1">
      <alignment horizontal="center" vertical="center" wrapText="1"/>
    </xf>
    <xf numFmtId="0" fontId="22" fillId="3" borderId="0" xfId="0" applyFont="1" applyFill="1"/>
    <xf numFmtId="0" fontId="15" fillId="3" borderId="15" xfId="0" applyFont="1" applyFill="1" applyBorder="1" applyAlignment="1">
      <alignment horizontal="center" vertical="center" wrapText="1"/>
    </xf>
    <xf numFmtId="0" fontId="15" fillId="3" borderId="36" xfId="0" applyFont="1" applyFill="1" applyBorder="1" applyAlignment="1">
      <alignment horizontal="center" vertical="center" wrapText="1"/>
    </xf>
    <xf numFmtId="0" fontId="23" fillId="7" borderId="37" xfId="0" applyFont="1" applyFill="1" applyBorder="1" applyAlignment="1">
      <alignment horizontal="center"/>
    </xf>
    <xf numFmtId="0" fontId="23" fillId="7" borderId="37" xfId="0" applyFont="1" applyFill="1" applyBorder="1" applyAlignment="1">
      <alignment horizontal="left" vertical="center"/>
    </xf>
    <xf numFmtId="0" fontId="24" fillId="3" borderId="37" xfId="0" applyFont="1" applyFill="1" applyBorder="1" applyAlignment="1">
      <alignment horizontal="center"/>
    </xf>
    <xf numFmtId="164" fontId="23" fillId="3" borderId="37" xfId="0" applyNumberFormat="1" applyFont="1" applyFill="1" applyBorder="1" applyAlignment="1">
      <alignment horizontal="center"/>
    </xf>
    <xf numFmtId="0" fontId="6" fillId="3" borderId="37" xfId="0" applyFont="1" applyFill="1" applyBorder="1" applyAlignment="1">
      <alignment horizontal="center"/>
    </xf>
    <xf numFmtId="0" fontId="5" fillId="3" borderId="37" xfId="0" applyFont="1" applyFill="1" applyBorder="1" applyAlignment="1">
      <alignment horizontal="center"/>
    </xf>
    <xf numFmtId="0" fontId="24" fillId="0" borderId="37" xfId="0" applyFont="1" applyBorder="1" applyAlignment="1">
      <alignment horizontal="center"/>
    </xf>
    <xf numFmtId="164" fontId="23" fillId="0" borderId="37" xfId="0" applyNumberFormat="1" applyFont="1" applyBorder="1" applyAlignment="1">
      <alignment horizontal="center"/>
    </xf>
    <xf numFmtId="0" fontId="5" fillId="0" borderId="37" xfId="0" applyFont="1" applyBorder="1" applyAlignment="1">
      <alignment horizontal="center"/>
    </xf>
    <xf numFmtId="0" fontId="25" fillId="8" borderId="37" xfId="0" applyFont="1" applyFill="1" applyBorder="1" applyAlignment="1">
      <alignment horizontal="center"/>
    </xf>
    <xf numFmtId="0" fontId="23" fillId="8" borderId="37" xfId="0" applyFont="1" applyFill="1" applyBorder="1" applyAlignment="1">
      <alignment horizontal="left" vertical="center"/>
    </xf>
    <xf numFmtId="164" fontId="23" fillId="8" borderId="37" xfId="0" applyNumberFormat="1" applyFont="1" applyFill="1" applyBorder="1" applyAlignment="1">
      <alignment horizontal="center"/>
    </xf>
    <xf numFmtId="0" fontId="17" fillId="8" borderId="37" xfId="0" applyFont="1" applyFill="1" applyBorder="1" applyAlignment="1">
      <alignment horizontal="center"/>
    </xf>
    <xf numFmtId="0" fontId="26" fillId="8" borderId="37" xfId="0" applyFont="1" applyFill="1" applyBorder="1" applyAlignment="1">
      <alignment horizontal="center"/>
    </xf>
    <xf numFmtId="0" fontId="24" fillId="3" borderId="15" xfId="0" applyFont="1" applyFill="1" applyBorder="1" applyAlignment="1">
      <alignment horizontal="center"/>
    </xf>
    <xf numFmtId="0" fontId="27" fillId="3" borderId="12" xfId="0" applyFont="1" applyFill="1" applyBorder="1" applyAlignment="1">
      <alignment horizontal="left" vertical="center"/>
    </xf>
    <xf numFmtId="0" fontId="26" fillId="8" borderId="36" xfId="0" applyFont="1" applyFill="1" applyBorder="1" applyAlignment="1">
      <alignment horizontal="center"/>
    </xf>
    <xf numFmtId="0" fontId="17" fillId="3" borderId="12" xfId="0" applyFont="1" applyFill="1" applyBorder="1" applyAlignment="1">
      <alignment horizontal="center"/>
    </xf>
    <xf numFmtId="0" fontId="17" fillId="3" borderId="36" xfId="0" applyFont="1" applyFill="1" applyBorder="1" applyAlignment="1">
      <alignment horizontal="center"/>
    </xf>
    <xf numFmtId="0" fontId="26" fillId="3" borderId="36" xfId="0" applyFont="1" applyFill="1" applyBorder="1" applyAlignment="1">
      <alignment horizontal="center"/>
    </xf>
    <xf numFmtId="164" fontId="17" fillId="3" borderId="12" xfId="0" applyNumberFormat="1" applyFont="1" applyFill="1" applyBorder="1" applyAlignment="1">
      <alignment horizontal="center"/>
    </xf>
    <xf numFmtId="164" fontId="26" fillId="3" borderId="36" xfId="0" applyNumberFormat="1" applyFont="1" applyFill="1" applyBorder="1" applyAlignment="1">
      <alignment horizontal="center"/>
    </xf>
    <xf numFmtId="164" fontId="22" fillId="3" borderId="0" xfId="0" applyNumberFormat="1" applyFont="1" applyFill="1"/>
    <xf numFmtId="0" fontId="21" fillId="3" borderId="12" xfId="0" applyFont="1" applyFill="1" applyBorder="1" applyAlignment="1">
      <alignment horizontal="left" vertical="center"/>
    </xf>
    <xf numFmtId="0" fontId="24" fillId="3" borderId="36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6" fillId="3" borderId="36" xfId="0" applyFont="1" applyFill="1" applyBorder="1" applyAlignment="1">
      <alignment horizontal="center"/>
    </xf>
    <xf numFmtId="0" fontId="28" fillId="4" borderId="38" xfId="0" applyFont="1" applyFill="1" applyBorder="1" applyAlignment="1">
      <alignment horizontal="center"/>
    </xf>
    <xf numFmtId="0" fontId="29" fillId="4" borderId="0" xfId="0" applyFont="1" applyFill="1" applyAlignment="1">
      <alignment vertical="center"/>
    </xf>
    <xf numFmtId="0" fontId="28" fillId="4" borderId="22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10" fontId="5" fillId="3" borderId="0" xfId="0" applyNumberFormat="1" applyFont="1" applyFill="1" applyAlignment="1">
      <alignment horizontal="center"/>
    </xf>
    <xf numFmtId="9" fontId="5" fillId="3" borderId="0" xfId="0" applyNumberFormat="1" applyFont="1" applyFill="1" applyAlignment="1">
      <alignment horizontal="center"/>
    </xf>
    <xf numFmtId="0" fontId="9" fillId="3" borderId="0" xfId="0" applyFont="1" applyFill="1" applyAlignment="1">
      <alignment horizontal="left"/>
    </xf>
    <xf numFmtId="2" fontId="9" fillId="3" borderId="0" xfId="0" applyNumberFormat="1" applyFont="1" applyFill="1" applyAlignment="1">
      <alignment horizontal="right" wrapText="1"/>
    </xf>
    <xf numFmtId="0" fontId="15" fillId="3" borderId="0" xfId="0" applyFont="1" applyFill="1" applyAlignment="1">
      <alignment horizontal="center" wrapText="1"/>
    </xf>
    <xf numFmtId="0" fontId="30" fillId="0" borderId="39" xfId="0" applyFont="1" applyBorder="1" applyAlignment="1">
      <alignment vertical="center" wrapText="1"/>
    </xf>
    <xf numFmtId="0" fontId="30" fillId="0" borderId="39" xfId="0" applyFont="1" applyBorder="1" applyAlignment="1">
      <alignment horizontal="left" vertical="center" wrapText="1"/>
    </xf>
    <xf numFmtId="0" fontId="30" fillId="0" borderId="0" xfId="0" applyFont="1" applyAlignment="1">
      <alignment vertical="center" wrapText="1"/>
    </xf>
    <xf numFmtId="0" fontId="30" fillId="0" borderId="0" xfId="0" applyFont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center" vertical="center" wrapText="1"/>
    </xf>
    <xf numFmtId="0" fontId="30" fillId="0" borderId="0" xfId="0" applyFont="1" applyAlignment="1">
      <alignment horizontal="left" vertical="center" wrapText="1"/>
    </xf>
    <xf numFmtId="15" fontId="33" fillId="4" borderId="1" xfId="0" applyNumberFormat="1" applyFont="1" applyFill="1" applyBorder="1" applyAlignment="1">
      <alignment horizontal="center" vertical="center" wrapText="1"/>
    </xf>
    <xf numFmtId="0" fontId="33" fillId="4" borderId="1" xfId="0" applyFont="1" applyFill="1" applyBorder="1" applyAlignment="1">
      <alignment horizontal="center" vertical="center" wrapText="1"/>
    </xf>
    <xf numFmtId="0" fontId="34" fillId="4" borderId="1" xfId="0" applyFont="1" applyFill="1" applyBorder="1" applyAlignment="1">
      <alignment horizontal="center" vertical="center" wrapText="1"/>
    </xf>
    <xf numFmtId="0" fontId="34" fillId="4" borderId="40" xfId="0" applyFont="1" applyFill="1" applyBorder="1" applyAlignment="1">
      <alignment horizontal="center" vertical="center" wrapText="1"/>
    </xf>
    <xf numFmtId="0" fontId="30" fillId="3" borderId="4" xfId="0" applyFont="1" applyFill="1" applyBorder="1" applyAlignment="1">
      <alignment horizontal="left" vertical="center" wrapText="1"/>
    </xf>
    <xf numFmtId="0" fontId="15" fillId="3" borderId="5" xfId="0" applyFont="1" applyFill="1" applyBorder="1" applyAlignment="1">
      <alignment vertical="center" wrapText="1"/>
    </xf>
    <xf numFmtId="0" fontId="15" fillId="3" borderId="6" xfId="0" applyFont="1" applyFill="1" applyBorder="1" applyAlignment="1">
      <alignment vertical="center" wrapText="1"/>
    </xf>
    <xf numFmtId="0" fontId="15" fillId="3" borderId="0" xfId="0" applyFont="1" applyFill="1" applyAlignment="1">
      <alignment vertical="center" wrapText="1"/>
    </xf>
    <xf numFmtId="0" fontId="15" fillId="3" borderId="9" xfId="0" applyFont="1" applyFill="1" applyBorder="1" applyAlignment="1">
      <alignment horizontal="center" vertical="center" wrapText="1"/>
    </xf>
    <xf numFmtId="0" fontId="15" fillId="4" borderId="41" xfId="0" applyFont="1" applyFill="1" applyBorder="1" applyAlignment="1">
      <alignment vertical="center" wrapText="1"/>
    </xf>
    <xf numFmtId="0" fontId="30" fillId="3" borderId="24" xfId="0" applyFont="1" applyFill="1" applyBorder="1" applyAlignment="1">
      <alignment horizontal="left" vertical="center" wrapText="1"/>
    </xf>
    <xf numFmtId="0" fontId="30" fillId="3" borderId="42" xfId="0" applyFont="1" applyFill="1" applyBorder="1" applyAlignment="1">
      <alignment horizontal="center" vertical="center" wrapText="1"/>
    </xf>
    <xf numFmtId="0" fontId="30" fillId="3" borderId="8" xfId="0" applyFont="1" applyFill="1" applyBorder="1" applyAlignment="1">
      <alignment horizontal="center" vertical="center" wrapText="1"/>
    </xf>
    <xf numFmtId="0" fontId="30" fillId="3" borderId="0" xfId="0" applyFont="1" applyFill="1" applyAlignment="1">
      <alignment horizontal="center" vertical="center" wrapText="1"/>
    </xf>
    <xf numFmtId="0" fontId="30" fillId="0" borderId="1" xfId="0" applyFont="1" applyBorder="1" applyAlignment="1">
      <alignment vertical="center" wrapText="1"/>
    </xf>
    <xf numFmtId="0" fontId="15" fillId="3" borderId="7" xfId="0" applyFont="1" applyFill="1" applyBorder="1" applyAlignment="1">
      <alignment vertical="center" wrapText="1"/>
    </xf>
    <xf numFmtId="0" fontId="15" fillId="3" borderId="0" xfId="0" applyFont="1" applyFill="1" applyAlignment="1">
      <alignment horizontal="right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30" fillId="3" borderId="0" xfId="0" applyFont="1" applyFill="1" applyAlignment="1">
      <alignment horizontal="left" vertical="center" wrapText="1"/>
    </xf>
    <xf numFmtId="0" fontId="35" fillId="3" borderId="24" xfId="0" applyFont="1" applyFill="1" applyBorder="1" applyAlignment="1">
      <alignment horizontal="left" vertical="center" wrapText="1"/>
    </xf>
    <xf numFmtId="0" fontId="15" fillId="3" borderId="8" xfId="0" applyFont="1" applyFill="1" applyBorder="1" applyAlignment="1">
      <alignment horizontal="right" vertical="center" wrapText="1"/>
    </xf>
    <xf numFmtId="0" fontId="15" fillId="3" borderId="44" xfId="0" applyFont="1" applyFill="1" applyBorder="1" applyAlignment="1">
      <alignment vertical="center" wrapText="1"/>
    </xf>
    <xf numFmtId="0" fontId="30" fillId="3" borderId="45" xfId="0" applyFont="1" applyFill="1" applyBorder="1" applyAlignment="1">
      <alignment horizontal="center" vertical="center" wrapText="1"/>
    </xf>
    <xf numFmtId="0" fontId="30" fillId="3" borderId="46" xfId="0" applyFont="1" applyFill="1" applyBorder="1" applyAlignment="1">
      <alignment horizontal="left" vertical="center" wrapText="1"/>
    </xf>
    <xf numFmtId="0" fontId="30" fillId="3" borderId="47" xfId="0" applyFont="1" applyFill="1" applyBorder="1" applyAlignment="1">
      <alignment horizontal="center" vertical="center" wrapText="1"/>
    </xf>
    <xf numFmtId="0" fontId="30" fillId="3" borderId="9" xfId="0" applyFont="1" applyFill="1" applyBorder="1" applyAlignment="1">
      <alignment horizontal="center" vertical="center" wrapText="1"/>
    </xf>
    <xf numFmtId="0" fontId="15" fillId="3" borderId="48" xfId="0" applyFont="1" applyFill="1" applyBorder="1" applyAlignment="1">
      <alignment horizontal="center" vertical="center" wrapText="1"/>
    </xf>
    <xf numFmtId="0" fontId="30" fillId="3" borderId="49" xfId="0" applyFont="1" applyFill="1" applyBorder="1" applyAlignment="1">
      <alignment horizontal="center" vertical="center" wrapText="1"/>
    </xf>
    <xf numFmtId="0" fontId="30" fillId="3" borderId="50" xfId="0" applyFont="1" applyFill="1" applyBorder="1" applyAlignment="1">
      <alignment horizontal="center" vertical="center" wrapText="1"/>
    </xf>
    <xf numFmtId="0" fontId="30" fillId="3" borderId="51" xfId="0" applyFont="1" applyFill="1" applyBorder="1" applyAlignment="1">
      <alignment horizontal="center" vertical="center" wrapText="1"/>
    </xf>
    <xf numFmtId="0" fontId="15" fillId="3" borderId="52" xfId="0" applyFont="1" applyFill="1" applyBorder="1" applyAlignment="1">
      <alignment vertical="center" wrapText="1"/>
    </xf>
    <xf numFmtId="0" fontId="15" fillId="3" borderId="47" xfId="0" applyFont="1" applyFill="1" applyBorder="1" applyAlignment="1">
      <alignment horizontal="center" vertical="center" wrapText="1"/>
    </xf>
    <xf numFmtId="0" fontId="15" fillId="3" borderId="51" xfId="0" applyFont="1" applyFill="1" applyBorder="1" applyAlignment="1">
      <alignment horizontal="center" vertical="center" wrapText="1"/>
    </xf>
    <xf numFmtId="0" fontId="14" fillId="4" borderId="53" xfId="0" applyFont="1" applyFill="1" applyBorder="1" applyAlignment="1">
      <alignment vertical="top" wrapText="1"/>
    </xf>
    <xf numFmtId="0" fontId="30" fillId="3" borderId="48" xfId="0" applyFont="1" applyFill="1" applyBorder="1" applyAlignment="1">
      <alignment horizontal="center" vertical="center" wrapText="1"/>
    </xf>
    <xf numFmtId="0" fontId="15" fillId="4" borderId="41" xfId="0" applyFont="1" applyFill="1" applyBorder="1" applyAlignment="1">
      <alignment vertical="top" wrapText="1"/>
    </xf>
    <xf numFmtId="0" fontId="30" fillId="3" borderId="1" xfId="0" applyFont="1" applyFill="1" applyBorder="1" applyAlignment="1">
      <alignment horizontal="left" vertical="center" wrapText="1"/>
    </xf>
    <xf numFmtId="0" fontId="30" fillId="3" borderId="55" xfId="0" applyFont="1" applyFill="1" applyBorder="1" applyAlignment="1">
      <alignment horizontal="center" vertical="center" wrapText="1"/>
    </xf>
    <xf numFmtId="0" fontId="30" fillId="3" borderId="56" xfId="0" applyFont="1" applyFill="1" applyBorder="1" applyAlignment="1">
      <alignment horizontal="center" vertical="center" wrapText="1"/>
    </xf>
    <xf numFmtId="0" fontId="30" fillId="3" borderId="57" xfId="0" applyFont="1" applyFill="1" applyBorder="1" applyAlignment="1">
      <alignment horizontal="center" vertical="center" wrapText="1"/>
    </xf>
    <xf numFmtId="14" fontId="30" fillId="3" borderId="1" xfId="0" applyNumberFormat="1" applyFont="1" applyFill="1" applyBorder="1" applyAlignment="1">
      <alignment horizontal="center" vertical="center" wrapText="1"/>
    </xf>
    <xf numFmtId="165" fontId="30" fillId="3" borderId="1" xfId="0" applyNumberFormat="1" applyFont="1" applyFill="1" applyBorder="1" applyAlignment="1">
      <alignment horizontal="center" vertical="center" wrapText="1"/>
    </xf>
    <xf numFmtId="165" fontId="30" fillId="3" borderId="49" xfId="0" applyNumberFormat="1" applyFont="1" applyFill="1" applyBorder="1" applyAlignment="1">
      <alignment horizontal="center" vertical="center" wrapText="1"/>
    </xf>
    <xf numFmtId="0" fontId="15" fillId="4" borderId="58" xfId="0" applyFont="1" applyFill="1" applyBorder="1" applyAlignment="1">
      <alignment vertical="top" wrapText="1"/>
    </xf>
    <xf numFmtId="0" fontId="30" fillId="3" borderId="45" xfId="0" applyFont="1" applyFill="1" applyBorder="1" applyAlignment="1">
      <alignment horizontal="left" vertical="center" wrapText="1"/>
    </xf>
    <xf numFmtId="0" fontId="36" fillId="0" borderId="59" xfId="0" applyFont="1" applyBorder="1"/>
    <xf numFmtId="0" fontId="36" fillId="0" borderId="60" xfId="0" applyFont="1" applyBorder="1"/>
    <xf numFmtId="0" fontId="15" fillId="3" borderId="45" xfId="0" applyFont="1" applyFill="1" applyBorder="1" applyAlignment="1">
      <alignment wrapText="1"/>
    </xf>
    <xf numFmtId="0" fontId="15" fillId="3" borderId="3" xfId="0" applyFont="1" applyFill="1" applyBorder="1" applyAlignment="1">
      <alignment horizontal="right" vertical="center" wrapText="1"/>
    </xf>
    <xf numFmtId="0" fontId="15" fillId="3" borderId="1" xfId="0" applyFont="1" applyFill="1" applyBorder="1" applyAlignment="1">
      <alignment vertical="center" wrapText="1"/>
    </xf>
    <xf numFmtId="0" fontId="15" fillId="3" borderId="49" xfId="0" applyFont="1" applyFill="1" applyBorder="1" applyAlignment="1">
      <alignment horizontal="center" vertical="center" wrapText="1"/>
    </xf>
    <xf numFmtId="0" fontId="15" fillId="3" borderId="8" xfId="0" applyFont="1" applyFill="1" applyBorder="1" applyAlignment="1">
      <alignment vertical="center" wrapText="1"/>
    </xf>
    <xf numFmtId="0" fontId="15" fillId="3" borderId="9" xfId="0" applyFont="1" applyFill="1" applyBorder="1" applyAlignment="1">
      <alignment vertical="center" wrapText="1"/>
    </xf>
    <xf numFmtId="0" fontId="36" fillId="3" borderId="8" xfId="0" applyFont="1" applyFill="1" applyBorder="1"/>
    <xf numFmtId="0" fontId="15" fillId="3" borderId="8" xfId="0" applyFont="1" applyFill="1" applyBorder="1" applyAlignment="1">
      <alignment horizontal="center" vertical="center" wrapText="1"/>
    </xf>
    <xf numFmtId="0" fontId="15" fillId="3" borderId="0" xfId="0" applyFont="1" applyFill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2" xfId="0" applyFont="1" applyBorder="1"/>
    <xf numFmtId="0" fontId="11" fillId="0" borderId="3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6" xfId="0" applyFont="1" applyBorder="1"/>
    <xf numFmtId="0" fontId="7" fillId="0" borderId="1" xfId="0" applyFont="1" applyBorder="1" applyAlignment="1">
      <alignment horizontal="left" wrapText="1"/>
    </xf>
    <xf numFmtId="0" fontId="11" fillId="0" borderId="7" xfId="0" applyFont="1" applyBorder="1"/>
    <xf numFmtId="0" fontId="11" fillId="0" borderId="8" xfId="0" applyFont="1" applyBorder="1"/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11" fillId="0" borderId="9" xfId="0" applyFont="1" applyBorder="1"/>
    <xf numFmtId="49" fontId="5" fillId="0" borderId="12" xfId="0" applyNumberFormat="1" applyFont="1" applyBorder="1" applyAlignment="1">
      <alignment vertical="top" wrapText="1"/>
    </xf>
    <xf numFmtId="0" fontId="11" fillId="0" borderId="14" xfId="0" applyFont="1" applyBorder="1"/>
    <xf numFmtId="0" fontId="11" fillId="0" borderId="15" xfId="0" applyFont="1" applyBorder="1"/>
    <xf numFmtId="0" fontId="11" fillId="0" borderId="16" xfId="0" applyFont="1" applyBorder="1"/>
    <xf numFmtId="0" fontId="11" fillId="0" borderId="0" xfId="0" applyFont="1"/>
    <xf numFmtId="0" fontId="11" fillId="0" borderId="17" xfId="0" applyFont="1" applyBorder="1"/>
    <xf numFmtId="0" fontId="11" fillId="0" borderId="18" xfId="0" applyFont="1" applyBorder="1"/>
    <xf numFmtId="0" fontId="11" fillId="0" borderId="19" xfId="0" applyFont="1" applyBorder="1"/>
    <xf numFmtId="0" fontId="11" fillId="0" borderId="20" xfId="0" applyFont="1" applyBorder="1"/>
    <xf numFmtId="1" fontId="9" fillId="5" borderId="24" xfId="0" applyNumberFormat="1" applyFont="1" applyFill="1" applyBorder="1"/>
    <xf numFmtId="0" fontId="7" fillId="5" borderId="1" xfId="0" applyFont="1" applyFill="1" applyBorder="1" applyAlignment="1">
      <alignment horizontal="left"/>
    </xf>
    <xf numFmtId="1" fontId="9" fillId="5" borderId="1" xfId="0" applyNumberFormat="1" applyFont="1" applyFill="1" applyBorder="1" applyAlignment="1">
      <alignment horizontal="left"/>
    </xf>
    <xf numFmtId="1" fontId="9" fillId="5" borderId="1" xfId="0" applyNumberFormat="1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left" vertical="top" wrapText="1"/>
    </xf>
    <xf numFmtId="0" fontId="16" fillId="3" borderId="0" xfId="0" applyFont="1" applyFill="1" applyAlignment="1">
      <alignment horizontal="center"/>
    </xf>
    <xf numFmtId="0" fontId="5" fillId="3" borderId="1" xfId="0" applyFont="1" applyFill="1" applyBorder="1" applyAlignment="1">
      <alignment horizontal="left"/>
    </xf>
    <xf numFmtId="0" fontId="9" fillId="3" borderId="1" xfId="0" applyFont="1" applyFill="1" applyBorder="1" applyAlignment="1">
      <alignment horizontal="left"/>
    </xf>
    <xf numFmtId="0" fontId="9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left"/>
    </xf>
    <xf numFmtId="14" fontId="7" fillId="3" borderId="1" xfId="0" applyNumberFormat="1" applyFont="1" applyFill="1" applyBorder="1" applyAlignment="1">
      <alignment horizontal="left" vertical="top"/>
    </xf>
    <xf numFmtId="0" fontId="7" fillId="3" borderId="1" xfId="0" applyFont="1" applyFill="1" applyBorder="1" applyAlignment="1">
      <alignment vertical="top" wrapText="1"/>
    </xf>
    <xf numFmtId="0" fontId="23" fillId="3" borderId="37" xfId="0" applyFont="1" applyFill="1" applyBorder="1" applyAlignment="1">
      <alignment horizontal="left" vertical="center"/>
    </xf>
    <xf numFmtId="0" fontId="11" fillId="0" borderId="37" xfId="0" applyFont="1" applyBorder="1"/>
    <xf numFmtId="0" fontId="23" fillId="0" borderId="37" xfId="0" applyFont="1" applyBorder="1" applyAlignment="1">
      <alignment horizontal="left" vertical="center"/>
    </xf>
    <xf numFmtId="0" fontId="31" fillId="3" borderId="1" xfId="0" applyFont="1" applyFill="1" applyBorder="1" applyAlignment="1">
      <alignment vertical="center" wrapText="1"/>
    </xf>
    <xf numFmtId="0" fontId="32" fillId="9" borderId="1" xfId="0" applyFont="1" applyFill="1" applyBorder="1" applyAlignment="1">
      <alignment vertical="center" wrapText="1"/>
    </xf>
    <xf numFmtId="0" fontId="31" fillId="3" borderId="1" xfId="0" applyFont="1" applyFill="1" applyBorder="1" applyAlignment="1">
      <alignment horizontal="center" vertical="center" wrapText="1"/>
    </xf>
    <xf numFmtId="49" fontId="30" fillId="9" borderId="1" xfId="0" applyNumberFormat="1" applyFont="1" applyFill="1" applyBorder="1" applyAlignment="1">
      <alignment horizontal="center" vertical="center" wrapText="1"/>
    </xf>
    <xf numFmtId="0" fontId="32" fillId="3" borderId="1" xfId="0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center" vertical="center" wrapText="1"/>
    </xf>
    <xf numFmtId="0" fontId="32" fillId="3" borderId="1" xfId="0" applyFont="1" applyFill="1" applyBorder="1" applyAlignment="1">
      <alignment horizontal="left" vertical="center" wrapText="1"/>
    </xf>
    <xf numFmtId="0" fontId="30" fillId="3" borderId="24" xfId="0" applyFont="1" applyFill="1" applyBorder="1" applyAlignment="1">
      <alignment horizontal="left" vertical="center" wrapText="1"/>
    </xf>
    <xf numFmtId="0" fontId="30" fillId="3" borderId="0" xfId="0" applyFont="1" applyFill="1" applyAlignment="1">
      <alignment horizontal="left" vertical="center" wrapText="1"/>
    </xf>
    <xf numFmtId="0" fontId="30" fillId="3" borderId="43" xfId="0" applyFont="1" applyFill="1" applyBorder="1" applyAlignment="1">
      <alignment horizontal="left" vertical="center" wrapText="1"/>
    </xf>
    <xf numFmtId="0" fontId="30" fillId="3" borderId="46" xfId="0" applyFont="1" applyFill="1" applyBorder="1" applyAlignment="1">
      <alignment horizontal="left" vertical="center" wrapText="1"/>
    </xf>
    <xf numFmtId="0" fontId="35" fillId="3" borderId="24" xfId="0" applyFont="1" applyFill="1" applyBorder="1" applyAlignment="1">
      <alignment horizontal="left" vertical="center" wrapText="1"/>
    </xf>
    <xf numFmtId="0" fontId="30" fillId="3" borderId="4" xfId="0" applyFont="1" applyFill="1" applyBorder="1" applyAlignment="1">
      <alignment horizontal="left" vertical="center" wrapText="1"/>
    </xf>
    <xf numFmtId="0" fontId="30" fillId="3" borderId="1" xfId="0" applyFont="1" applyFill="1" applyBorder="1" applyAlignment="1">
      <alignment horizontal="left" vertical="center" wrapText="1"/>
    </xf>
    <xf numFmtId="0" fontId="30" fillId="3" borderId="54" xfId="0" applyFont="1" applyFill="1" applyBorder="1" applyAlignment="1">
      <alignment horizontal="left" vertical="center" wrapText="1"/>
    </xf>
    <xf numFmtId="0" fontId="30" fillId="3" borderId="56" xfId="0" applyFont="1" applyFill="1" applyBorder="1" applyAlignment="1">
      <alignment horizontal="left" vertical="center" wrapText="1"/>
    </xf>
    <xf numFmtId="0" fontId="30" fillId="3" borderId="45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Passed Percent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1176010101010097E-2"/>
          <c:y val="0.16116374269005851"/>
          <c:w val="0.68917171717171721"/>
          <c:h val="0.79798830409356725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AAE-441C-B793-74AF658D49C2}"/>
                </c:ext>
              </c:extLst>
            </c:dLbl>
            <c:spPr>
              <a:noFill/>
              <a:ln>
                <a:noFill/>
              </a:ln>
              <a:effectLst/>
            </c:sp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'[1]Test Report'!$P$31:$P$33</c:f>
              <c:numCache>
                <c:formatCode>General</c:formatCode>
                <c:ptCount val="3"/>
                <c:pt idx="0">
                  <c:v>168</c:v>
                </c:pt>
                <c:pt idx="1">
                  <c:v>0</c:v>
                </c:pt>
                <c:pt idx="2">
                  <c:v>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'[1]Test Report'!$P$30</c15:sqref>
                        </c15:formulaRef>
                      </c:ext>
                    </c:extLst>
                    <c:strCache>
                      <c:ptCount val="1"/>
                      <c:pt idx="0">
                        <c:v>Count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'[1]Test Report'!$O$31:$O$33</c15:sqref>
                        </c15:formulaRef>
                      </c:ext>
                    </c:extLst>
                    <c:strCache>
                      <c:ptCount val="3"/>
                      <c:pt idx="0">
                        <c:v>Passed</c:v>
                      </c:pt>
                      <c:pt idx="1">
                        <c:v>Failed</c:v>
                      </c:pt>
                      <c:pt idx="2">
                        <c:v>Untested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704D-4FE2-8F95-2324B2EB98D7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'Test Report'!$Q$31</c:f>
              <c:numCache>
                <c:formatCode>0.0%</c:formatCode>
                <c:ptCount val="1"/>
                <c:pt idx="0">
                  <c:v>0.97674418604651159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AE-441C-B793-74AF658D49C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Test Type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Lbls>
            <c:dLbl>
              <c:idx val="0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3FF7-4EB8-8E72-7DD1004B46EC}"/>
                </c:ext>
              </c:extLst>
            </c:dLbl>
            <c:dLbl>
              <c:idx val="1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3FF7-4EB8-8E72-7DD1004B46EC}"/>
                </c:ext>
              </c:extLst>
            </c:dLbl>
            <c:dLbl>
              <c:idx val="2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0-3FF7-4EB8-8E72-7DD1004B46EC}"/>
                </c:ext>
              </c:extLst>
            </c:dLbl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'[1]Test Report'!$P$37:$P$39</c:f>
              <c:numCache>
                <c:formatCode>General</c:formatCode>
                <c:ptCount val="3"/>
                <c:pt idx="0">
                  <c:v>107</c:v>
                </c:pt>
                <c:pt idx="1">
                  <c:v>53</c:v>
                </c:pt>
                <c:pt idx="2">
                  <c:v>12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'[1]Test Report'!$P$36</c15:sqref>
                        </c15:formulaRef>
                      </c:ext>
                    </c:extLst>
                    <c:strCache>
                      <c:ptCount val="1"/>
                      <c:pt idx="0">
                        <c:v>Count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'[1]Test Report'!$O$37:$O$39</c15:sqref>
                        </c15:formulaRef>
                      </c:ext>
                    </c:extLst>
                    <c:strCache>
                      <c:ptCount val="3"/>
                      <c:pt idx="0">
                        <c:v>N</c:v>
                      </c:pt>
                      <c:pt idx="1">
                        <c:v>A</c:v>
                      </c:pt>
                      <c:pt idx="2">
                        <c:v>B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21F4-4D3B-898E-64B91C5EE11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542925</xdr:colOff>
      <xdr:row>26</xdr:row>
      <xdr:rowOff>85725</xdr:rowOff>
    </xdr:from>
    <xdr:ext cx="3960000" cy="34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806993-B241-4076-8284-38B5DF8644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537210</xdr:colOff>
      <xdr:row>26</xdr:row>
      <xdr:rowOff>116205</xdr:rowOff>
    </xdr:from>
    <xdr:ext cx="3960000" cy="34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091C86-21CF-4A86-8E63-82DF2135AC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 Repor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zoomScaleNormal="100" workbookViewId="0"/>
  </sheetViews>
  <sheetFormatPr defaultColWidth="12.6640625" defaultRowHeight="13.5" customHeight="1" x14ac:dyDescent="0.2"/>
  <cols>
    <col min="1" max="1" width="119.33203125" customWidth="1"/>
  </cols>
  <sheetData>
    <row r="1" spans="1:26" ht="27.75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.5" customHeight="1" x14ac:dyDescent="0.3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3.5" customHeight="1" x14ac:dyDescent="0.25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 x14ac:dyDescent="0.25">
      <c r="A4" s="5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" customHeight="1" x14ac:dyDescent="0.25">
      <c r="A5" s="5" t="s">
        <v>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3.5" customHeight="1" x14ac:dyDescent="0.25">
      <c r="A6" s="7" t="s">
        <v>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29.25" customHeight="1" x14ac:dyDescent="0.25">
      <c r="A7" s="7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0" customHeight="1" x14ac:dyDescent="0.25">
      <c r="A8" s="7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6.5" customHeight="1" x14ac:dyDescent="0.25">
      <c r="A9" s="8" t="s">
        <v>7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6.5" customHeight="1" x14ac:dyDescent="0.25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3.5" customHeight="1" x14ac:dyDescent="0.25">
      <c r="A11" s="3" t="s">
        <v>8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3.5" customHeight="1" x14ac:dyDescent="0.25">
      <c r="A12" s="10" t="s">
        <v>9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3.5" customHeight="1" x14ac:dyDescent="0.25">
      <c r="A13" s="5" t="s">
        <v>10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3.5" customHeight="1" x14ac:dyDescent="0.25">
      <c r="A14" s="5" t="s">
        <v>11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3.5" customHeight="1" x14ac:dyDescent="0.25">
      <c r="A15" s="7" t="s">
        <v>12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3.5" customHeight="1" x14ac:dyDescent="0.25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3.5" customHeight="1" x14ac:dyDescent="0.25">
      <c r="A17" s="10" t="s">
        <v>13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3.5" customHeight="1" x14ac:dyDescent="0.25">
      <c r="A18" s="5" t="s">
        <v>14</v>
      </c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3.5" customHeight="1" x14ac:dyDescent="0.25">
      <c r="A19" s="10" t="s">
        <v>15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3.5" customHeight="1" x14ac:dyDescent="0.25">
      <c r="A20" s="5" t="s">
        <v>16</v>
      </c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3.5" customHeight="1" x14ac:dyDescent="0.25">
      <c r="A21" s="7" t="s">
        <v>17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3.5" customHeight="1" x14ac:dyDescent="0.25">
      <c r="A22" s="5" t="s">
        <v>18</v>
      </c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3.5" customHeight="1" x14ac:dyDescent="0.25">
      <c r="A23" s="5" t="s">
        <v>19</v>
      </c>
      <c r="B23" s="5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3.5" customHeight="1" x14ac:dyDescent="0.25">
      <c r="A24" s="5" t="s">
        <v>20</v>
      </c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3.5" customHeight="1" x14ac:dyDescent="0.25">
      <c r="A25" s="5" t="s">
        <v>21</v>
      </c>
      <c r="B25" s="5"/>
      <c r="C25" s="5" t="s">
        <v>22</v>
      </c>
      <c r="D25" s="5" t="s">
        <v>22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3.5" customHeight="1" x14ac:dyDescent="0.25">
      <c r="A26" s="5" t="s">
        <v>23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3.5" customHeight="1" x14ac:dyDescent="0.25">
      <c r="A27" s="5" t="s">
        <v>24</v>
      </c>
      <c r="B27" s="5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3.5" customHeight="1" x14ac:dyDescent="0.25">
      <c r="A28" s="5" t="s">
        <v>25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3.5" customHeight="1" x14ac:dyDescent="0.25">
      <c r="A29" s="5" t="s">
        <v>26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3.5" customHeight="1" x14ac:dyDescent="0.25">
      <c r="A30" s="5" t="s">
        <v>27</v>
      </c>
      <c r="B30" s="5"/>
      <c r="C30" s="5" t="s">
        <v>22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3.5" customHeight="1" x14ac:dyDescent="0.25">
      <c r="A31" s="10" t="s">
        <v>28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30" customHeight="1" x14ac:dyDescent="0.25">
      <c r="A32" s="7" t="s">
        <v>29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3.5" customHeight="1" x14ac:dyDescent="0.25">
      <c r="A33" s="5" t="s">
        <v>30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3.5" customHeight="1" x14ac:dyDescent="0.25">
      <c r="A34" s="5" t="s">
        <v>31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3.5" customHeight="1" x14ac:dyDescent="0.25">
      <c r="A35" s="5" t="s">
        <v>32</v>
      </c>
      <c r="B35" s="5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3.5" customHeight="1" x14ac:dyDescent="0.25">
      <c r="A36" s="5" t="s">
        <v>33</v>
      </c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3.5" customHeight="1" x14ac:dyDescent="0.25">
      <c r="A37" s="10" t="s">
        <v>34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3.5" customHeight="1" x14ac:dyDescent="0.25">
      <c r="A38" s="5" t="s">
        <v>35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3.5" customHeight="1" x14ac:dyDescent="0.25">
      <c r="A39" s="7" t="s">
        <v>36</v>
      </c>
      <c r="B39" s="5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3.5" customHeight="1" x14ac:dyDescent="0.25">
      <c r="A40" s="7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3.5" customHeight="1" x14ac:dyDescent="0.25">
      <c r="A41" s="10" t="s">
        <v>37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3.5" customHeight="1" x14ac:dyDescent="0.25">
      <c r="A42" s="5" t="s">
        <v>38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3.5" customHeight="1" x14ac:dyDescent="0.25">
      <c r="A43" s="5" t="s">
        <v>39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3.5" customHeight="1" x14ac:dyDescent="0.25">
      <c r="A44" s="5" t="s">
        <v>40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3.5" customHeight="1" x14ac:dyDescent="0.25">
      <c r="A45" s="5" t="s">
        <v>41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3.5" customHeight="1" x14ac:dyDescent="0.25">
      <c r="A46" s="5" t="s">
        <v>42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3.5" customHeight="1" x14ac:dyDescent="0.25">
      <c r="A47" s="5" t="s">
        <v>43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3.5" customHeight="1" x14ac:dyDescent="0.25">
      <c r="A48" s="5" t="s">
        <v>44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3.5" customHeight="1" x14ac:dyDescent="0.25">
      <c r="A49" s="5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3.5" customHeight="1" x14ac:dyDescent="0.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3.5" customHeight="1" x14ac:dyDescent="0.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3.5" customHeight="1" x14ac:dyDescent="0.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3.5" customHeight="1" x14ac:dyDescent="0.2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3.5" customHeight="1" x14ac:dyDescent="0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3.5" customHeight="1" x14ac:dyDescent="0.2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3.5" customHeight="1" x14ac:dyDescent="0.2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3.5" customHeight="1" x14ac:dyDescent="0.2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3.5" customHeight="1" x14ac:dyDescent="0.2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3.5" customHeight="1" x14ac:dyDescent="0.2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3.5" customHeight="1" x14ac:dyDescent="0.2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3.5" customHeight="1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3.5" customHeight="1" x14ac:dyDescent="0.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3.5" customHeight="1" x14ac:dyDescent="0.2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3.5" customHeight="1" x14ac:dyDescent="0.2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3.5" customHeight="1" x14ac:dyDescent="0.2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3.5" customHeight="1" x14ac:dyDescent="0.2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3.5" customHeight="1" x14ac:dyDescent="0.2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3.5" customHeight="1" x14ac:dyDescent="0.2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3.5" customHeight="1" x14ac:dyDescent="0.2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3.5" customHeight="1" x14ac:dyDescent="0.2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3.5" customHeight="1" x14ac:dyDescent="0.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3.5" customHeight="1" x14ac:dyDescent="0.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3.5" customHeight="1" x14ac:dyDescent="0.2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3.5" customHeight="1" x14ac:dyDescent="0.2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3.5" customHeight="1" x14ac:dyDescent="0.2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3.5" customHeight="1" x14ac:dyDescent="0.2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3.5" customHeight="1" x14ac:dyDescent="0.2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3.5" customHeight="1" x14ac:dyDescent="0.2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3.5" customHeight="1" x14ac:dyDescent="0.2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3.5" customHeight="1" x14ac:dyDescent="0.2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3.5" customHeight="1" x14ac:dyDescent="0.2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3.5" customHeight="1" x14ac:dyDescent="0.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3.5" customHeight="1" x14ac:dyDescent="0.2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3.5" customHeight="1" x14ac:dyDescent="0.2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3.5" customHeight="1" x14ac:dyDescent="0.2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3.5" customHeight="1" x14ac:dyDescent="0.2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3.5" customHeight="1" x14ac:dyDescent="0.2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3.5" customHeight="1" x14ac:dyDescent="0.2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3.5" customHeight="1" x14ac:dyDescent="0.2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3.5" customHeight="1" x14ac:dyDescent="0.2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3.5" customHeight="1" x14ac:dyDescent="0.2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3.5" customHeight="1" x14ac:dyDescent="0.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3.5" customHeight="1" x14ac:dyDescent="0.2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3.5" customHeight="1" x14ac:dyDescent="0.2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3.5" customHeight="1" x14ac:dyDescent="0.2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3.5" customHeight="1" x14ac:dyDescent="0.2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3.5" customHeight="1" x14ac:dyDescent="0.2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3.5" customHeight="1" x14ac:dyDescent="0.2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3.5" customHeight="1" x14ac:dyDescent="0.2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3.5" customHeight="1" x14ac:dyDescent="0.2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3.5" customHeight="1" x14ac:dyDescent="0.2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3.5" customHeight="1" x14ac:dyDescent="0.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3.5" customHeight="1" x14ac:dyDescent="0.2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3.5" customHeight="1" x14ac:dyDescent="0.2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3.5" customHeight="1" x14ac:dyDescent="0.2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3.5" customHeight="1" x14ac:dyDescent="0.2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3.5" customHeight="1" x14ac:dyDescent="0.2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3.5" customHeight="1" x14ac:dyDescent="0.2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3.5" customHeight="1" x14ac:dyDescent="0.2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3.5" customHeight="1" x14ac:dyDescent="0.2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3.5" customHeight="1" x14ac:dyDescent="0.2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3.5" customHeight="1" x14ac:dyDescent="0.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3.5" customHeight="1" x14ac:dyDescent="0.2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3.5" customHeight="1" x14ac:dyDescent="0.2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3.5" customHeight="1" x14ac:dyDescent="0.2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3.5" customHeight="1" x14ac:dyDescent="0.2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3.5" customHeight="1" x14ac:dyDescent="0.2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3.5" customHeight="1" x14ac:dyDescent="0.2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3.5" customHeight="1" x14ac:dyDescent="0.2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3.5" customHeight="1" x14ac:dyDescent="0.2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3.5" customHeight="1" x14ac:dyDescent="0.2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3.5" customHeight="1" x14ac:dyDescent="0.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3.5" customHeight="1" x14ac:dyDescent="0.2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3.5" customHeight="1" x14ac:dyDescent="0.2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3.5" customHeight="1" x14ac:dyDescent="0.2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3.5" customHeight="1" x14ac:dyDescent="0.2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3.5" customHeight="1" x14ac:dyDescent="0.2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3.5" customHeight="1" x14ac:dyDescent="0.2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3.5" customHeight="1" x14ac:dyDescent="0.2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3.5" customHeight="1" x14ac:dyDescent="0.2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3.5" customHeight="1" x14ac:dyDescent="0.2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3.5" customHeight="1" x14ac:dyDescent="0.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3.5" customHeight="1" x14ac:dyDescent="0.2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3.5" customHeight="1" x14ac:dyDescent="0.2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3.5" customHeight="1" x14ac:dyDescent="0.2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3.5" customHeight="1" x14ac:dyDescent="0.2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3.5" customHeight="1" x14ac:dyDescent="0.2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3.5" customHeight="1" x14ac:dyDescent="0.2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3.5" customHeight="1" x14ac:dyDescent="0.2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3.5" customHeight="1" x14ac:dyDescent="0.2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3.5" customHeight="1" x14ac:dyDescent="0.2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3.5" customHeight="1" x14ac:dyDescent="0.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3.5" customHeight="1" x14ac:dyDescent="0.2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3.5" customHeight="1" x14ac:dyDescent="0.2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3.5" customHeight="1" x14ac:dyDescent="0.2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3.5" customHeight="1" x14ac:dyDescent="0.2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3.5" customHeight="1" x14ac:dyDescent="0.2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3.5" customHeight="1" x14ac:dyDescent="0.2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3.5" customHeight="1" x14ac:dyDescent="0.2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3.5" customHeight="1" x14ac:dyDescent="0.2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3.5" customHeight="1" x14ac:dyDescent="0.2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3.5" customHeight="1" x14ac:dyDescent="0.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3.5" customHeight="1" x14ac:dyDescent="0.2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3.5" customHeight="1" x14ac:dyDescent="0.2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3.5" customHeight="1" x14ac:dyDescent="0.2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3.5" customHeight="1" x14ac:dyDescent="0.2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3.5" customHeight="1" x14ac:dyDescent="0.2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3.5" customHeight="1" x14ac:dyDescent="0.2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3.5" customHeight="1" x14ac:dyDescent="0.2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3.5" customHeight="1" x14ac:dyDescent="0.2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3.5" customHeight="1" x14ac:dyDescent="0.2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3.5" customHeight="1" x14ac:dyDescent="0.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3.5" customHeight="1" x14ac:dyDescent="0.2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3.5" customHeight="1" x14ac:dyDescent="0.2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3.5" customHeight="1" x14ac:dyDescent="0.2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3.5" customHeight="1" x14ac:dyDescent="0.2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3.5" customHeight="1" x14ac:dyDescent="0.2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3.5" customHeight="1" x14ac:dyDescent="0.2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3.5" customHeight="1" x14ac:dyDescent="0.2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3.5" customHeight="1" x14ac:dyDescent="0.2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3.5" customHeight="1" x14ac:dyDescent="0.2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3.5" customHeight="1" x14ac:dyDescent="0.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3.5" customHeight="1" x14ac:dyDescent="0.2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3.5" customHeight="1" x14ac:dyDescent="0.2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3.5" customHeight="1" x14ac:dyDescent="0.2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3.5" customHeight="1" x14ac:dyDescent="0.2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3.5" customHeight="1" x14ac:dyDescent="0.2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3.5" customHeight="1" x14ac:dyDescent="0.2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3.5" customHeight="1" x14ac:dyDescent="0.2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3.5" customHeight="1" x14ac:dyDescent="0.2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3.5" customHeight="1" x14ac:dyDescent="0.2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3.5" customHeight="1" x14ac:dyDescent="0.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3.5" customHeight="1" x14ac:dyDescent="0.2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3.5" customHeight="1" x14ac:dyDescent="0.2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3.5" customHeight="1" x14ac:dyDescent="0.2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3.5" customHeight="1" x14ac:dyDescent="0.2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3.5" customHeight="1" x14ac:dyDescent="0.2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3.5" customHeight="1" x14ac:dyDescent="0.2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3.5" customHeight="1" x14ac:dyDescent="0.2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3.5" customHeight="1" x14ac:dyDescent="0.2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3.5" customHeight="1" x14ac:dyDescent="0.2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3.5" customHeight="1" x14ac:dyDescent="0.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3.5" customHeight="1" x14ac:dyDescent="0.2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3.5" customHeight="1" x14ac:dyDescent="0.2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3.5" customHeight="1" x14ac:dyDescent="0.2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3.5" customHeight="1" x14ac:dyDescent="0.2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3.5" customHeight="1" x14ac:dyDescent="0.2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3.5" customHeight="1" x14ac:dyDescent="0.2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3.5" customHeight="1" x14ac:dyDescent="0.2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3.5" customHeight="1" x14ac:dyDescent="0.2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3.5" customHeight="1" x14ac:dyDescent="0.2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3.5" customHeight="1" x14ac:dyDescent="0.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3.5" customHeight="1" x14ac:dyDescent="0.2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3.5" customHeight="1" x14ac:dyDescent="0.2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3.5" customHeight="1" x14ac:dyDescent="0.2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3.5" customHeight="1" x14ac:dyDescent="0.2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3.5" customHeight="1" x14ac:dyDescent="0.2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3.5" customHeight="1" x14ac:dyDescent="0.2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3.5" customHeight="1" x14ac:dyDescent="0.2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3.5" customHeight="1" x14ac:dyDescent="0.2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3.5" customHeight="1" x14ac:dyDescent="0.2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3.5" customHeight="1" x14ac:dyDescent="0.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3.5" customHeight="1" x14ac:dyDescent="0.2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3.5" customHeight="1" x14ac:dyDescent="0.2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3.5" customHeight="1" x14ac:dyDescent="0.2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3.5" customHeight="1" x14ac:dyDescent="0.2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3.5" customHeight="1" x14ac:dyDescent="0.2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3.5" customHeight="1" x14ac:dyDescent="0.2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3.5" customHeight="1" x14ac:dyDescent="0.2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3.5" customHeight="1" x14ac:dyDescent="0.2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3.5" customHeight="1" x14ac:dyDescent="0.2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3.5" customHeight="1" x14ac:dyDescent="0.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3.5" customHeight="1" x14ac:dyDescent="0.2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3.5" customHeight="1" x14ac:dyDescent="0.2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3.5" customHeight="1" x14ac:dyDescent="0.2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3.5" customHeight="1" x14ac:dyDescent="0.2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3.5" customHeight="1" x14ac:dyDescent="0.2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3.5" customHeight="1" x14ac:dyDescent="0.2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3.5" customHeight="1" x14ac:dyDescent="0.2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3.5" customHeight="1" x14ac:dyDescent="0.2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3.5" customHeight="1" x14ac:dyDescent="0.2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3.5" customHeight="1" x14ac:dyDescent="0.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3.5" customHeight="1" x14ac:dyDescent="0.2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3.5" customHeight="1" x14ac:dyDescent="0.2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3.5" customHeight="1" x14ac:dyDescent="0.2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3.5" customHeight="1" x14ac:dyDescent="0.2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3.5" customHeight="1" x14ac:dyDescent="0.2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3.5" customHeight="1" x14ac:dyDescent="0.2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3.5" customHeight="1" x14ac:dyDescent="0.2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3.5" customHeight="1" x14ac:dyDescent="0.2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3.5" customHeight="1" x14ac:dyDescent="0.2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3.5" customHeight="1" x14ac:dyDescent="0.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3.5" customHeight="1" x14ac:dyDescent="0.2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3.5" customHeight="1" x14ac:dyDescent="0.2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3.5" customHeight="1" x14ac:dyDescent="0.2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3.5" customHeight="1" x14ac:dyDescent="0.2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3.5" customHeight="1" x14ac:dyDescent="0.2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3.5" customHeight="1" x14ac:dyDescent="0.2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customHeight="1" x14ac:dyDescent="0.2"/>
    <row r="250" spans="1:26" ht="15.75" customHeight="1" x14ac:dyDescent="0.2"/>
    <row r="251" spans="1:26" ht="15.75" customHeight="1" x14ac:dyDescent="0.2"/>
    <row r="252" spans="1:26" ht="15.75" customHeight="1" x14ac:dyDescent="0.2"/>
    <row r="253" spans="1:26" ht="15.75" customHeight="1" x14ac:dyDescent="0.2"/>
    <row r="254" spans="1:26" ht="15.75" customHeight="1" x14ac:dyDescent="0.2"/>
    <row r="255" spans="1:26" ht="15.75" customHeight="1" x14ac:dyDescent="0.2"/>
    <row r="256" spans="1:2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0.7" bottom="0.65" header="0" footer="0"/>
  <pageSetup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60"/>
  <sheetViews>
    <sheetView showGridLines="0" zoomScaleNormal="100" workbookViewId="0"/>
  </sheetViews>
  <sheetFormatPr defaultRowHeight="13.5" customHeight="1" x14ac:dyDescent="0.2"/>
  <cols>
    <col min="1" max="1" width="21.33203125" customWidth="1"/>
    <col min="2" max="2" width="10" customWidth="1"/>
    <col min="3" max="3" width="14.33203125" customWidth="1"/>
    <col min="4" max="4" width="8" customWidth="1"/>
    <col min="5" max="5" width="38" customWidth="1"/>
    <col min="6" max="6" width="48.109375" customWidth="1"/>
  </cols>
  <sheetData>
    <row r="1" spans="1:26" ht="12.75" customHeight="1" x14ac:dyDescent="0.25">
      <c r="A1" s="1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24" customHeight="1" x14ac:dyDescent="0.2">
      <c r="A2" s="184" t="s">
        <v>45</v>
      </c>
      <c r="B2" s="185"/>
      <c r="C2" s="185"/>
      <c r="D2" s="185"/>
      <c r="E2" s="185"/>
      <c r="F2" s="185"/>
      <c r="G2" s="185"/>
      <c r="H2" s="185"/>
      <c r="I2" s="186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24" customHeight="1" x14ac:dyDescent="0.25">
      <c r="A3" s="187"/>
      <c r="B3" s="188"/>
      <c r="C3" s="188"/>
      <c r="D3" s="188"/>
      <c r="E3" s="188"/>
      <c r="F3" s="188"/>
      <c r="G3" s="188"/>
      <c r="H3" s="188"/>
      <c r="I3" s="189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36" customHeight="1" x14ac:dyDescent="0.25">
      <c r="A4" s="15" t="s">
        <v>46</v>
      </c>
      <c r="B4" s="190" t="s">
        <v>47</v>
      </c>
      <c r="C4" s="191"/>
      <c r="D4" s="192"/>
      <c r="E4" s="15" t="s">
        <v>48</v>
      </c>
      <c r="F4" s="16" t="s">
        <v>49</v>
      </c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14.25" customHeight="1" x14ac:dyDescent="0.25">
      <c r="A5" s="15" t="s">
        <v>50</v>
      </c>
      <c r="B5" s="193" t="s">
        <v>51</v>
      </c>
      <c r="C5" s="191"/>
      <c r="D5" s="192"/>
      <c r="E5" s="15" t="s">
        <v>52</v>
      </c>
      <c r="F5" s="16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15.75" customHeight="1" x14ac:dyDescent="0.25">
      <c r="A6" s="195" t="s">
        <v>53</v>
      </c>
      <c r="B6" s="194" t="s">
        <v>54</v>
      </c>
      <c r="C6" s="185"/>
      <c r="D6" s="186"/>
      <c r="E6" s="15" t="s">
        <v>55</v>
      </c>
      <c r="F6" s="18">
        <v>46313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13.5" customHeight="1" x14ac:dyDescent="0.25">
      <c r="A7" s="196"/>
      <c r="B7" s="187"/>
      <c r="C7" s="188"/>
      <c r="D7" s="189"/>
      <c r="E7" s="15" t="s">
        <v>56</v>
      </c>
      <c r="F7" s="19" t="s">
        <v>57</v>
      </c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12.75" customHeight="1" x14ac:dyDescent="0.25">
      <c r="A8" s="20"/>
      <c r="B8" s="21"/>
      <c r="C8" s="13"/>
      <c r="D8" s="13"/>
      <c r="E8" s="22"/>
      <c r="F8" s="21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12.75" customHeight="1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12.75" customHeight="1" x14ac:dyDescent="0.25">
      <c r="A10" s="23" t="s">
        <v>58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12.75" customHeight="1" x14ac:dyDescent="0.2">
      <c r="A11" s="24" t="s">
        <v>59</v>
      </c>
      <c r="B11" s="25" t="s">
        <v>56</v>
      </c>
      <c r="C11" s="25" t="s">
        <v>60</v>
      </c>
      <c r="D11" s="25" t="s">
        <v>61</v>
      </c>
      <c r="E11" s="25" t="s">
        <v>62</v>
      </c>
      <c r="F11" s="25" t="s">
        <v>63</v>
      </c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75" customHeight="1" x14ac:dyDescent="0.2">
      <c r="A12" s="27">
        <v>46313</v>
      </c>
      <c r="B12" s="28" t="s">
        <v>57</v>
      </c>
      <c r="C12" s="28" t="s">
        <v>64</v>
      </c>
      <c r="D12" s="28" t="s">
        <v>65</v>
      </c>
      <c r="E12" s="28" t="s">
        <v>66</v>
      </c>
      <c r="F12" s="28" t="s">
        <v>67</v>
      </c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spans="1:26" ht="21.75" customHeight="1" x14ac:dyDescent="0.2">
      <c r="A13" s="30"/>
      <c r="B13" s="31"/>
      <c r="C13" s="32"/>
      <c r="D13" s="32"/>
      <c r="E13" s="32"/>
      <c r="F13" s="33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spans="1:26" ht="19.5" customHeight="1" x14ac:dyDescent="0.2">
      <c r="A14" s="30"/>
      <c r="B14" s="31"/>
      <c r="C14" s="32"/>
      <c r="D14" s="32"/>
      <c r="E14" s="32"/>
      <c r="F14" s="33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spans="1:26" ht="21.75" customHeight="1" x14ac:dyDescent="0.2">
      <c r="A15" s="30" t="s">
        <v>68</v>
      </c>
      <c r="B15" s="197" t="s">
        <v>69</v>
      </c>
      <c r="C15" s="198"/>
      <c r="D15" s="198"/>
      <c r="E15" s="198"/>
      <c r="F15" s="19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spans="1:26" ht="19.5" customHeight="1" x14ac:dyDescent="0.2">
      <c r="A16" s="30"/>
      <c r="B16" s="200"/>
      <c r="C16" s="201"/>
      <c r="D16" s="201"/>
      <c r="E16" s="201"/>
      <c r="F16" s="202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spans="1:26" ht="21.75" customHeight="1" x14ac:dyDescent="0.2">
      <c r="A17" s="30"/>
      <c r="B17" s="203"/>
      <c r="C17" s="204"/>
      <c r="D17" s="204"/>
      <c r="E17" s="204"/>
      <c r="F17" s="205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spans="1:26" ht="19.5" customHeight="1" x14ac:dyDescent="0.2">
      <c r="A18" s="34"/>
      <c r="B18" s="35"/>
      <c r="C18" s="36"/>
      <c r="D18" s="36"/>
      <c r="E18" s="36"/>
      <c r="F18" s="3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spans="1:26" ht="12.75" customHeight="1" x14ac:dyDescent="0.25">
      <c r="A19" s="12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12.75" customHeight="1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12.75" customHeight="1" x14ac:dyDescent="0.25">
      <c r="A21" s="12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2.75" customHeight="1" x14ac:dyDescent="0.25">
      <c r="A22" s="12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12.75" customHeight="1" x14ac:dyDescent="0.25">
      <c r="A23" s="12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12.75" customHeight="1" x14ac:dyDescent="0.25">
      <c r="A24" s="12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12.75" customHeight="1" x14ac:dyDescent="0.25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12.75" customHeight="1" x14ac:dyDescent="0.2"/>
    <row r="27" spans="1:26" ht="12.75" customHeight="1" x14ac:dyDescent="0.2"/>
    <row r="28" spans="1:26" ht="12.75" customHeight="1" x14ac:dyDescent="0.2"/>
    <row r="29" spans="1:26" ht="12.75" customHeight="1" x14ac:dyDescent="0.2"/>
    <row r="30" spans="1:26" ht="12.75" customHeight="1" x14ac:dyDescent="0.2"/>
    <row r="31" spans="1:26" ht="12.75" customHeight="1" x14ac:dyDescent="0.2"/>
    <row r="32" spans="1:26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</sheetData>
  <mergeCells count="6">
    <mergeCell ref="B15:F17"/>
    <mergeCell ref="A2:I3"/>
    <mergeCell ref="B4:D4"/>
    <mergeCell ref="B5:D5"/>
    <mergeCell ref="B6:D7"/>
    <mergeCell ref="A6:A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zoomScaleNormal="100" workbookViewId="0"/>
  </sheetViews>
  <sheetFormatPr defaultColWidth="12.6640625" defaultRowHeight="13.5" customHeight="1" x14ac:dyDescent="0.2"/>
  <cols>
    <col min="1" max="1" width="7.109375" customWidth="1"/>
    <col min="2" max="2" width="14.88671875" customWidth="1"/>
    <col min="3" max="3" width="22.33203125" customWidth="1"/>
    <col min="4" max="4" width="36" customWidth="1"/>
    <col min="5" max="5" width="36.109375" customWidth="1"/>
    <col min="6" max="6" width="23.109375" customWidth="1"/>
    <col min="7" max="7" width="92.88671875" customWidth="1"/>
    <col min="8" max="8" width="33.88671875" customWidth="1"/>
  </cols>
  <sheetData>
    <row r="1" spans="1:26" ht="12.75" customHeight="1" x14ac:dyDescent="0.25">
      <c r="A1" s="38"/>
      <c r="B1" s="38"/>
      <c r="C1" s="38"/>
      <c r="D1" s="39"/>
      <c r="E1" s="39"/>
      <c r="F1" s="39"/>
      <c r="G1" s="39"/>
      <c r="H1" s="39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spans="1:26" ht="30" customHeight="1" x14ac:dyDescent="0.4">
      <c r="A2" s="38"/>
      <c r="B2" s="38"/>
      <c r="C2" s="38"/>
      <c r="D2" s="39"/>
      <c r="E2" s="41" t="s">
        <v>70</v>
      </c>
      <c r="F2" s="41"/>
      <c r="G2" s="42"/>
      <c r="H2" s="39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spans="1:26" ht="13.5" customHeight="1" x14ac:dyDescent="0.25">
      <c r="A3" s="38"/>
      <c r="B3" s="38"/>
      <c r="C3" s="38"/>
      <c r="D3" s="39"/>
      <c r="E3" s="39"/>
      <c r="F3" s="43"/>
      <c r="G3" s="43"/>
      <c r="H3" s="39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spans="1:26" ht="14.25" customHeight="1" x14ac:dyDescent="0.25">
      <c r="A4" s="206" t="s">
        <v>46</v>
      </c>
      <c r="B4" s="191"/>
      <c r="C4" s="191"/>
      <c r="D4" s="191"/>
      <c r="E4" s="207" t="s">
        <v>71</v>
      </c>
      <c r="F4" s="191"/>
      <c r="G4" s="191"/>
      <c r="H4" s="192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spans="1:26" ht="17.25" customHeight="1" x14ac:dyDescent="0.25">
      <c r="A5" s="206" t="s">
        <v>50</v>
      </c>
      <c r="B5" s="191"/>
      <c r="C5" s="191"/>
      <c r="D5" s="191"/>
      <c r="E5" s="207" t="s">
        <v>51</v>
      </c>
      <c r="F5" s="191"/>
      <c r="G5" s="191"/>
      <c r="H5" s="192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spans="1:26" ht="14.25" customHeight="1" x14ac:dyDescent="0.25">
      <c r="A6" s="208" t="s">
        <v>72</v>
      </c>
      <c r="B6" s="191"/>
      <c r="C6" s="191"/>
      <c r="D6" s="192"/>
      <c r="E6" s="44">
        <v>100</v>
      </c>
      <c r="F6" s="45"/>
      <c r="G6" s="45"/>
      <c r="H6" s="46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spans="1:26" ht="51.75" customHeight="1" x14ac:dyDescent="0.25">
      <c r="A7" s="209" t="s">
        <v>73</v>
      </c>
      <c r="B7" s="191"/>
      <c r="C7" s="191"/>
      <c r="D7" s="192"/>
      <c r="E7" s="210" t="s">
        <v>74</v>
      </c>
      <c r="F7" s="191"/>
      <c r="G7" s="191"/>
      <c r="H7" s="192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 spans="1:26" ht="12.75" customHeight="1" x14ac:dyDescent="0.25">
      <c r="A8" s="48"/>
      <c r="B8" s="48"/>
      <c r="C8" s="48"/>
      <c r="D8" s="40"/>
      <c r="E8" s="47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spans="1:26" ht="12.75" customHeight="1" x14ac:dyDescent="0.2">
      <c r="A9" s="49"/>
      <c r="B9" s="49"/>
      <c r="C9" s="49"/>
      <c r="D9" s="50"/>
      <c r="E9" s="51"/>
      <c r="F9" s="50"/>
      <c r="G9" s="50"/>
      <c r="H9" s="50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 spans="1:26" ht="24" customHeight="1" x14ac:dyDescent="0.25">
      <c r="A10" s="53" t="s">
        <v>75</v>
      </c>
      <c r="B10" s="54" t="s">
        <v>76</v>
      </c>
      <c r="C10" s="55" t="s">
        <v>77</v>
      </c>
      <c r="D10" s="56" t="s">
        <v>78</v>
      </c>
      <c r="E10" s="57" t="s">
        <v>79</v>
      </c>
      <c r="F10" s="56" t="s">
        <v>80</v>
      </c>
      <c r="G10" s="58" t="s">
        <v>81</v>
      </c>
      <c r="H10" s="59" t="s">
        <v>82</v>
      </c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spans="1:26" ht="38.25" customHeight="1" x14ac:dyDescent="0.25">
      <c r="A11" s="38">
        <v>1</v>
      </c>
      <c r="B11" s="61" t="s">
        <v>83</v>
      </c>
      <c r="C11" s="38" t="s">
        <v>84</v>
      </c>
      <c r="D11" s="62" t="s">
        <v>85</v>
      </c>
      <c r="E11" s="39" t="s">
        <v>86</v>
      </c>
      <c r="F11" s="39" t="s">
        <v>84</v>
      </c>
      <c r="G11" s="63" t="s">
        <v>87</v>
      </c>
      <c r="H11" s="64" t="s">
        <v>88</v>
      </c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spans="1:26" ht="42" customHeight="1" x14ac:dyDescent="0.25">
      <c r="A12" s="38">
        <v>2</v>
      </c>
      <c r="B12" s="61" t="s">
        <v>89</v>
      </c>
      <c r="C12" s="38" t="s">
        <v>90</v>
      </c>
      <c r="D12" s="62" t="s">
        <v>85</v>
      </c>
      <c r="E12" s="62" t="s">
        <v>91</v>
      </c>
      <c r="F12" s="39" t="s">
        <v>90</v>
      </c>
      <c r="G12" s="63" t="s">
        <v>92</v>
      </c>
      <c r="H12" s="64" t="s">
        <v>93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28.5" customHeight="1" x14ac:dyDescent="0.25">
      <c r="A13" s="38">
        <v>3</v>
      </c>
      <c r="B13" s="61" t="s">
        <v>94</v>
      </c>
      <c r="C13" s="38" t="s">
        <v>95</v>
      </c>
      <c r="D13" s="62" t="s">
        <v>85</v>
      </c>
      <c r="E13" s="62" t="s">
        <v>96</v>
      </c>
      <c r="F13" s="39" t="s">
        <v>95</v>
      </c>
      <c r="G13" s="63" t="s">
        <v>97</v>
      </c>
      <c r="H13" s="64" t="s">
        <v>98</v>
      </c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spans="1:26" ht="34.5" customHeight="1" x14ac:dyDescent="0.25">
      <c r="A14" s="38">
        <v>4</v>
      </c>
      <c r="B14" s="61" t="s">
        <v>99</v>
      </c>
      <c r="C14" s="38" t="s">
        <v>100</v>
      </c>
      <c r="D14" s="62" t="s">
        <v>85</v>
      </c>
      <c r="E14" s="62" t="s">
        <v>101</v>
      </c>
      <c r="F14" s="39" t="s">
        <v>100</v>
      </c>
      <c r="G14" s="63" t="s">
        <v>102</v>
      </c>
      <c r="H14" s="64" t="s">
        <v>103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spans="1:26" ht="28.5" customHeight="1" x14ac:dyDescent="0.25">
      <c r="A15" s="38">
        <v>5</v>
      </c>
      <c r="B15" s="61" t="s">
        <v>104</v>
      </c>
      <c r="C15" s="38" t="s">
        <v>105</v>
      </c>
      <c r="D15" s="62" t="s">
        <v>85</v>
      </c>
      <c r="E15" s="62" t="s">
        <v>106</v>
      </c>
      <c r="F15" s="39" t="s">
        <v>105</v>
      </c>
      <c r="G15" s="63" t="s">
        <v>107</v>
      </c>
      <c r="H15" s="64" t="s">
        <v>108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spans="1:26" ht="28.5" customHeight="1" x14ac:dyDescent="0.25">
      <c r="A16" s="38">
        <v>6</v>
      </c>
      <c r="B16" s="61" t="s">
        <v>109</v>
      </c>
      <c r="C16" s="38" t="s">
        <v>110</v>
      </c>
      <c r="D16" s="62" t="s">
        <v>85</v>
      </c>
      <c r="E16" s="62" t="s">
        <v>111</v>
      </c>
      <c r="F16" s="39" t="s">
        <v>110</v>
      </c>
      <c r="G16" s="63" t="s">
        <v>112</v>
      </c>
      <c r="H16" s="64" t="s">
        <v>113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spans="1:26" ht="33" customHeight="1" x14ac:dyDescent="0.25">
      <c r="A17" s="38">
        <v>7</v>
      </c>
      <c r="B17" s="61" t="s">
        <v>114</v>
      </c>
      <c r="C17" s="38" t="s">
        <v>115</v>
      </c>
      <c r="D17" s="62" t="s">
        <v>85</v>
      </c>
      <c r="E17" s="62" t="s">
        <v>116</v>
      </c>
      <c r="F17" s="39" t="s">
        <v>115</v>
      </c>
      <c r="G17" s="63" t="s">
        <v>117</v>
      </c>
      <c r="H17" s="64" t="s">
        <v>118</v>
      </c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spans="1:26" ht="27.75" customHeight="1" x14ac:dyDescent="0.25">
      <c r="A18" s="38">
        <v>8</v>
      </c>
      <c r="B18" s="61" t="s">
        <v>119</v>
      </c>
      <c r="C18" s="38" t="s">
        <v>120</v>
      </c>
      <c r="D18" s="62" t="s">
        <v>85</v>
      </c>
      <c r="E18" s="62" t="s">
        <v>121</v>
      </c>
      <c r="F18" s="39" t="s">
        <v>120</v>
      </c>
      <c r="G18" s="63" t="s">
        <v>122</v>
      </c>
      <c r="H18" s="64" t="s">
        <v>123</v>
      </c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spans="1:26" ht="27.75" customHeight="1" x14ac:dyDescent="0.25">
      <c r="A19" s="38">
        <v>9</v>
      </c>
      <c r="B19" s="61" t="s">
        <v>124</v>
      </c>
      <c r="C19" s="38" t="s">
        <v>125</v>
      </c>
      <c r="D19" s="62" t="s">
        <v>85</v>
      </c>
      <c r="E19" s="62" t="s">
        <v>126</v>
      </c>
      <c r="F19" s="39" t="s">
        <v>125</v>
      </c>
      <c r="G19" s="63" t="s">
        <v>127</v>
      </c>
      <c r="H19" s="64" t="s">
        <v>128</v>
      </c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spans="1:26" ht="56.25" customHeight="1" x14ac:dyDescent="0.25">
      <c r="A20" s="38">
        <v>10</v>
      </c>
      <c r="B20" s="61" t="s">
        <v>129</v>
      </c>
      <c r="C20" s="38" t="s">
        <v>130</v>
      </c>
      <c r="D20" s="61" t="s">
        <v>131</v>
      </c>
      <c r="E20" s="62" t="s">
        <v>132</v>
      </c>
      <c r="F20" s="39" t="s">
        <v>133</v>
      </c>
      <c r="G20" s="63" t="s">
        <v>134</v>
      </c>
      <c r="H20" s="64" t="s">
        <v>135</v>
      </c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spans="1:26" ht="24.75" customHeight="1" x14ac:dyDescent="0.25">
      <c r="A21" s="38">
        <v>11</v>
      </c>
      <c r="B21" s="61" t="s">
        <v>129</v>
      </c>
      <c r="C21" s="38" t="s">
        <v>130</v>
      </c>
      <c r="D21" s="62" t="s">
        <v>136</v>
      </c>
      <c r="E21" s="62" t="s">
        <v>132</v>
      </c>
      <c r="F21" s="39" t="s">
        <v>133</v>
      </c>
      <c r="G21" s="63" t="s">
        <v>137</v>
      </c>
      <c r="H21" s="64" t="s">
        <v>135</v>
      </c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spans="1:26" ht="48" customHeight="1" x14ac:dyDescent="0.25">
      <c r="A22" s="38">
        <v>12</v>
      </c>
      <c r="B22" s="61" t="s">
        <v>129</v>
      </c>
      <c r="C22" s="38" t="s">
        <v>130</v>
      </c>
      <c r="D22" s="62" t="s">
        <v>138</v>
      </c>
      <c r="E22" s="62" t="s">
        <v>132</v>
      </c>
      <c r="F22" s="39" t="s">
        <v>133</v>
      </c>
      <c r="G22" s="63" t="s">
        <v>139</v>
      </c>
      <c r="H22" s="64" t="s">
        <v>135</v>
      </c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spans="1:26" ht="36" customHeight="1" x14ac:dyDescent="0.25">
      <c r="A23" s="38">
        <v>13</v>
      </c>
      <c r="B23" s="61" t="s">
        <v>129</v>
      </c>
      <c r="C23" s="38" t="s">
        <v>130</v>
      </c>
      <c r="D23" s="62" t="s">
        <v>140</v>
      </c>
      <c r="E23" s="62" t="s">
        <v>132</v>
      </c>
      <c r="F23" s="39" t="s">
        <v>133</v>
      </c>
      <c r="G23" s="63" t="s">
        <v>141</v>
      </c>
      <c r="H23" s="64" t="s">
        <v>135</v>
      </c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spans="1:26" ht="45" customHeight="1" x14ac:dyDescent="0.25">
      <c r="A24" s="38">
        <v>14</v>
      </c>
      <c r="B24" s="61" t="s">
        <v>129</v>
      </c>
      <c r="C24" s="38" t="s">
        <v>130</v>
      </c>
      <c r="D24" s="62" t="s">
        <v>142</v>
      </c>
      <c r="E24" s="62" t="s">
        <v>132</v>
      </c>
      <c r="F24" s="39" t="s">
        <v>133</v>
      </c>
      <c r="G24" s="63" t="s">
        <v>143</v>
      </c>
      <c r="H24" s="64" t="s">
        <v>135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spans="1:26" ht="41.25" customHeight="1" x14ac:dyDescent="0.25">
      <c r="A25" s="38">
        <v>15</v>
      </c>
      <c r="B25" s="61" t="s">
        <v>129</v>
      </c>
      <c r="C25" s="38" t="s">
        <v>130</v>
      </c>
      <c r="D25" s="62" t="s">
        <v>144</v>
      </c>
      <c r="E25" s="62" t="s">
        <v>132</v>
      </c>
      <c r="F25" s="39" t="s">
        <v>133</v>
      </c>
      <c r="G25" s="63" t="s">
        <v>145</v>
      </c>
      <c r="H25" s="64" t="s">
        <v>135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spans="1:26" ht="32.25" customHeight="1" x14ac:dyDescent="0.25">
      <c r="A26" s="38">
        <v>16</v>
      </c>
      <c r="B26" s="61" t="s">
        <v>129</v>
      </c>
      <c r="C26" s="38" t="s">
        <v>130</v>
      </c>
      <c r="D26" s="62" t="s">
        <v>146</v>
      </c>
      <c r="E26" s="62" t="s">
        <v>132</v>
      </c>
      <c r="F26" s="39" t="s">
        <v>133</v>
      </c>
      <c r="G26" s="63" t="s">
        <v>147</v>
      </c>
      <c r="H26" s="64" t="s">
        <v>135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spans="1:26" ht="30" customHeight="1" x14ac:dyDescent="0.25">
      <c r="A27" s="38">
        <v>17</v>
      </c>
      <c r="B27" s="61" t="s">
        <v>148</v>
      </c>
      <c r="C27" s="38" t="s">
        <v>149</v>
      </c>
      <c r="D27" s="62" t="s">
        <v>150</v>
      </c>
      <c r="E27" s="62" t="s">
        <v>151</v>
      </c>
      <c r="F27" s="39" t="s">
        <v>152</v>
      </c>
      <c r="G27" s="63" t="s">
        <v>153</v>
      </c>
      <c r="H27" s="64" t="s">
        <v>135</v>
      </c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spans="1:26" ht="39.75" customHeight="1" x14ac:dyDescent="0.25">
      <c r="A28" s="38">
        <v>18</v>
      </c>
      <c r="B28" s="61" t="s">
        <v>148</v>
      </c>
      <c r="C28" s="38" t="s">
        <v>149</v>
      </c>
      <c r="D28" s="62" t="s">
        <v>154</v>
      </c>
      <c r="E28" s="62" t="s">
        <v>151</v>
      </c>
      <c r="F28" s="39" t="s">
        <v>152</v>
      </c>
      <c r="G28" s="63" t="s">
        <v>155</v>
      </c>
      <c r="H28" s="64" t="s">
        <v>135</v>
      </c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spans="1:26" ht="47.25" customHeight="1" x14ac:dyDescent="0.25">
      <c r="A29" s="38">
        <v>19</v>
      </c>
      <c r="B29" s="61" t="s">
        <v>148</v>
      </c>
      <c r="C29" s="38" t="s">
        <v>149</v>
      </c>
      <c r="D29" s="62" t="s">
        <v>156</v>
      </c>
      <c r="E29" s="62" t="s">
        <v>151</v>
      </c>
      <c r="F29" s="39" t="s">
        <v>152</v>
      </c>
      <c r="G29" s="63" t="s">
        <v>157</v>
      </c>
      <c r="H29" s="64" t="s">
        <v>135</v>
      </c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spans="1:26" ht="15" customHeight="1" x14ac:dyDescent="0.2">
      <c r="A30" s="38">
        <v>20</v>
      </c>
      <c r="B30" s="38" t="s">
        <v>158</v>
      </c>
      <c r="C30" s="38" t="s">
        <v>159</v>
      </c>
      <c r="D30" s="62" t="s">
        <v>160</v>
      </c>
      <c r="E30" s="62" t="s">
        <v>161</v>
      </c>
      <c r="F30" s="39" t="s">
        <v>162</v>
      </c>
      <c r="G30" s="39" t="s">
        <v>163</v>
      </c>
      <c r="H30" s="39" t="s">
        <v>135</v>
      </c>
    </row>
    <row r="31" spans="1:26" ht="12.75" customHeight="1" x14ac:dyDescent="0.25">
      <c r="A31" s="38">
        <v>21</v>
      </c>
      <c r="B31" s="38" t="s">
        <v>158</v>
      </c>
      <c r="C31" s="38" t="s">
        <v>159</v>
      </c>
      <c r="D31" s="62" t="s">
        <v>164</v>
      </c>
      <c r="E31" s="62" t="s">
        <v>161</v>
      </c>
      <c r="F31" s="39" t="s">
        <v>162</v>
      </c>
      <c r="G31" s="39" t="s">
        <v>165</v>
      </c>
      <c r="H31" s="39" t="s">
        <v>135</v>
      </c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spans="1:26" ht="12.75" customHeight="1" x14ac:dyDescent="0.25">
      <c r="A32" s="38">
        <v>22</v>
      </c>
      <c r="B32" s="38" t="s">
        <v>158</v>
      </c>
      <c r="C32" s="38" t="s">
        <v>159</v>
      </c>
      <c r="D32" s="62" t="s">
        <v>166</v>
      </c>
      <c r="E32" s="62" t="s">
        <v>161</v>
      </c>
      <c r="F32" s="39" t="s">
        <v>162</v>
      </c>
      <c r="G32" s="39" t="s">
        <v>167</v>
      </c>
      <c r="H32" s="39" t="s">
        <v>135</v>
      </c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spans="1:26" ht="12.75" customHeight="1" x14ac:dyDescent="0.25">
      <c r="A33" s="38">
        <v>23</v>
      </c>
      <c r="B33" s="38" t="s">
        <v>158</v>
      </c>
      <c r="C33" s="38" t="s">
        <v>159</v>
      </c>
      <c r="D33" s="39" t="s">
        <v>168</v>
      </c>
      <c r="E33" s="39" t="s">
        <v>161</v>
      </c>
      <c r="F33" s="39" t="s">
        <v>162</v>
      </c>
      <c r="G33" s="39" t="s">
        <v>169</v>
      </c>
      <c r="H33" s="39" t="s">
        <v>135</v>
      </c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spans="1:26" ht="12.75" customHeight="1" x14ac:dyDescent="0.25">
      <c r="A34" s="38">
        <v>24</v>
      </c>
      <c r="B34" s="38" t="s">
        <v>158</v>
      </c>
      <c r="C34" s="38" t="s">
        <v>159</v>
      </c>
      <c r="D34" s="39" t="s">
        <v>170</v>
      </c>
      <c r="E34" s="39" t="s">
        <v>161</v>
      </c>
      <c r="F34" s="39" t="s">
        <v>162</v>
      </c>
      <c r="G34" s="39" t="s">
        <v>171</v>
      </c>
      <c r="H34" s="39" t="s">
        <v>135</v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spans="1:26" ht="12.75" customHeight="1" x14ac:dyDescent="0.25">
      <c r="A35" s="38">
        <v>25</v>
      </c>
      <c r="B35" s="38" t="s">
        <v>172</v>
      </c>
      <c r="C35" s="38" t="s">
        <v>173</v>
      </c>
      <c r="D35" s="39" t="s">
        <v>174</v>
      </c>
      <c r="E35" s="39" t="s">
        <v>175</v>
      </c>
      <c r="F35" s="39" t="s">
        <v>176</v>
      </c>
      <c r="G35" s="39" t="s">
        <v>177</v>
      </c>
      <c r="H35" s="39" t="s">
        <v>135</v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spans="1:26" ht="12.75" customHeight="1" x14ac:dyDescent="0.25">
      <c r="A36" s="38">
        <v>26</v>
      </c>
      <c r="B36" s="38" t="s">
        <v>172</v>
      </c>
      <c r="C36" s="38" t="s">
        <v>173</v>
      </c>
      <c r="D36" s="39" t="s">
        <v>178</v>
      </c>
      <c r="E36" s="39" t="s">
        <v>175</v>
      </c>
      <c r="F36" s="39" t="s">
        <v>176</v>
      </c>
      <c r="G36" s="39" t="s">
        <v>179</v>
      </c>
      <c r="H36" s="39" t="s">
        <v>135</v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spans="1:26" ht="12.75" customHeight="1" x14ac:dyDescent="0.25">
      <c r="A37" s="38">
        <v>27</v>
      </c>
      <c r="B37" s="38" t="s">
        <v>172</v>
      </c>
      <c r="C37" s="38" t="s">
        <v>173</v>
      </c>
      <c r="D37" s="39" t="s">
        <v>180</v>
      </c>
      <c r="E37" s="39" t="s">
        <v>175</v>
      </c>
      <c r="F37" s="39" t="s">
        <v>176</v>
      </c>
      <c r="G37" s="39" t="s">
        <v>181</v>
      </c>
      <c r="H37" s="39" t="s">
        <v>135</v>
      </c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spans="1:26" ht="12.75" customHeight="1" x14ac:dyDescent="0.25">
      <c r="A38" s="38">
        <v>28</v>
      </c>
      <c r="B38" s="38" t="s">
        <v>172</v>
      </c>
      <c r="C38" s="38" t="s">
        <v>173</v>
      </c>
      <c r="D38" s="39" t="s">
        <v>182</v>
      </c>
      <c r="E38" s="39" t="s">
        <v>175</v>
      </c>
      <c r="F38" s="39" t="s">
        <v>176</v>
      </c>
      <c r="G38" s="39" t="s">
        <v>183</v>
      </c>
      <c r="H38" s="39" t="s">
        <v>135</v>
      </c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spans="1:26" ht="12.75" customHeight="1" x14ac:dyDescent="0.25">
      <c r="A39" s="38">
        <v>29</v>
      </c>
      <c r="B39" s="38" t="s">
        <v>172</v>
      </c>
      <c r="C39" s="38" t="s">
        <v>173</v>
      </c>
      <c r="D39" s="39" t="s">
        <v>184</v>
      </c>
      <c r="E39" s="39" t="s">
        <v>175</v>
      </c>
      <c r="F39" s="39" t="s">
        <v>176</v>
      </c>
      <c r="G39" s="39" t="s">
        <v>185</v>
      </c>
      <c r="H39" s="39" t="s">
        <v>135</v>
      </c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6" ht="12.75" customHeight="1" x14ac:dyDescent="0.25">
      <c r="A40" s="38">
        <v>30</v>
      </c>
      <c r="B40" s="38" t="s">
        <v>172</v>
      </c>
      <c r="C40" s="38" t="s">
        <v>173</v>
      </c>
      <c r="D40" s="39" t="s">
        <v>186</v>
      </c>
      <c r="E40" s="39" t="s">
        <v>175</v>
      </c>
      <c r="F40" s="39" t="s">
        <v>176</v>
      </c>
      <c r="G40" s="39" t="s">
        <v>187</v>
      </c>
      <c r="H40" s="39" t="s">
        <v>135</v>
      </c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spans="1:26" ht="12.75" customHeight="1" x14ac:dyDescent="0.25">
      <c r="A41" s="38">
        <v>31</v>
      </c>
      <c r="B41" s="38" t="s">
        <v>172</v>
      </c>
      <c r="C41" s="38" t="s">
        <v>173</v>
      </c>
      <c r="D41" s="39" t="s">
        <v>188</v>
      </c>
      <c r="E41" s="39" t="s">
        <v>175</v>
      </c>
      <c r="F41" s="39" t="s">
        <v>176</v>
      </c>
      <c r="G41" s="39" t="s">
        <v>189</v>
      </c>
      <c r="H41" s="39" t="s">
        <v>135</v>
      </c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spans="1:26" ht="12.75" customHeight="1" x14ac:dyDescent="0.25">
      <c r="A42" s="38">
        <v>32</v>
      </c>
      <c r="B42" s="38" t="s">
        <v>190</v>
      </c>
      <c r="C42" s="38" t="s">
        <v>191</v>
      </c>
      <c r="D42" s="39" t="s">
        <v>192</v>
      </c>
      <c r="E42" s="39" t="s">
        <v>193</v>
      </c>
      <c r="F42" s="39" t="s">
        <v>194</v>
      </c>
      <c r="G42" s="39" t="s">
        <v>195</v>
      </c>
      <c r="H42" s="39" t="s">
        <v>135</v>
      </c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spans="1:26" ht="12.75" customHeight="1" x14ac:dyDescent="0.25">
      <c r="A43" s="38">
        <v>33</v>
      </c>
      <c r="B43" s="38" t="s">
        <v>190</v>
      </c>
      <c r="C43" s="38" t="s">
        <v>191</v>
      </c>
      <c r="D43" s="39" t="s">
        <v>196</v>
      </c>
      <c r="E43" s="39" t="s">
        <v>193</v>
      </c>
      <c r="F43" s="39" t="s">
        <v>194</v>
      </c>
      <c r="G43" s="39" t="s">
        <v>197</v>
      </c>
      <c r="H43" s="39" t="s">
        <v>135</v>
      </c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spans="1:26" ht="12.75" customHeight="1" x14ac:dyDescent="0.25">
      <c r="A44" s="38">
        <v>34</v>
      </c>
      <c r="B44" s="38" t="s">
        <v>190</v>
      </c>
      <c r="C44" s="38" t="s">
        <v>191</v>
      </c>
      <c r="D44" s="39" t="s">
        <v>198</v>
      </c>
      <c r="E44" s="39" t="s">
        <v>193</v>
      </c>
      <c r="F44" s="39" t="s">
        <v>194</v>
      </c>
      <c r="G44" s="39" t="s">
        <v>199</v>
      </c>
      <c r="H44" s="39" t="s">
        <v>135</v>
      </c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spans="1:26" ht="12.75" customHeight="1" x14ac:dyDescent="0.25">
      <c r="A45" s="38">
        <v>35</v>
      </c>
      <c r="B45" s="38" t="s">
        <v>190</v>
      </c>
      <c r="C45" s="38" t="s">
        <v>191</v>
      </c>
      <c r="D45" s="39" t="s">
        <v>200</v>
      </c>
      <c r="E45" s="39" t="s">
        <v>193</v>
      </c>
      <c r="F45" s="39" t="s">
        <v>194</v>
      </c>
      <c r="G45" s="39" t="s">
        <v>201</v>
      </c>
      <c r="H45" s="39" t="s">
        <v>135</v>
      </c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spans="1:26" ht="12.75" customHeight="1" x14ac:dyDescent="0.25">
      <c r="A46" s="38">
        <v>36</v>
      </c>
      <c r="B46" s="38" t="s">
        <v>190</v>
      </c>
      <c r="C46" s="38" t="s">
        <v>191</v>
      </c>
      <c r="D46" s="39" t="s">
        <v>202</v>
      </c>
      <c r="E46" s="39" t="s">
        <v>193</v>
      </c>
      <c r="F46" s="39" t="s">
        <v>194</v>
      </c>
      <c r="G46" s="39" t="s">
        <v>203</v>
      </c>
      <c r="H46" s="39" t="s">
        <v>135</v>
      </c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spans="1:26" ht="12.75" customHeight="1" x14ac:dyDescent="0.25">
      <c r="A47" s="38">
        <v>37</v>
      </c>
      <c r="B47" s="38" t="s">
        <v>190</v>
      </c>
      <c r="C47" s="38" t="s">
        <v>191</v>
      </c>
      <c r="D47" s="39" t="s">
        <v>204</v>
      </c>
      <c r="E47" s="39" t="s">
        <v>193</v>
      </c>
      <c r="F47" s="39" t="s">
        <v>194</v>
      </c>
      <c r="G47" s="39" t="s">
        <v>205</v>
      </c>
      <c r="H47" s="39" t="s">
        <v>135</v>
      </c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spans="1:26" ht="12.75" customHeight="1" x14ac:dyDescent="0.25">
      <c r="A48" s="38">
        <v>38</v>
      </c>
      <c r="B48" s="38" t="s">
        <v>190</v>
      </c>
      <c r="C48" s="38" t="s">
        <v>191</v>
      </c>
      <c r="D48" s="39" t="s">
        <v>206</v>
      </c>
      <c r="E48" s="39" t="s">
        <v>193</v>
      </c>
      <c r="F48" s="39" t="s">
        <v>194</v>
      </c>
      <c r="G48" s="39" t="s">
        <v>207</v>
      </c>
      <c r="H48" s="39" t="s">
        <v>135</v>
      </c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spans="1:26" ht="12.75" customHeight="1" x14ac:dyDescent="0.25">
      <c r="A49" s="38">
        <v>39</v>
      </c>
      <c r="B49" s="38" t="s">
        <v>190</v>
      </c>
      <c r="C49" s="38" t="s">
        <v>191</v>
      </c>
      <c r="D49" s="39" t="s">
        <v>208</v>
      </c>
      <c r="E49" s="39" t="s">
        <v>193</v>
      </c>
      <c r="F49" s="39" t="s">
        <v>194</v>
      </c>
      <c r="G49" s="39" t="s">
        <v>209</v>
      </c>
      <c r="H49" s="39" t="s">
        <v>135</v>
      </c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spans="1:26" ht="12.75" customHeight="1" x14ac:dyDescent="0.25">
      <c r="A50" s="38">
        <v>40</v>
      </c>
      <c r="B50" s="38" t="s">
        <v>190</v>
      </c>
      <c r="C50" s="38" t="s">
        <v>191</v>
      </c>
      <c r="D50" s="39" t="s">
        <v>210</v>
      </c>
      <c r="E50" s="39" t="s">
        <v>193</v>
      </c>
      <c r="F50" s="39" t="s">
        <v>194</v>
      </c>
      <c r="G50" s="39" t="s">
        <v>211</v>
      </c>
      <c r="H50" s="39" t="s">
        <v>135</v>
      </c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spans="1:26" ht="12.75" customHeight="1" x14ac:dyDescent="0.25">
      <c r="A51" s="38">
        <v>41</v>
      </c>
      <c r="B51" s="38" t="s">
        <v>212</v>
      </c>
      <c r="C51" s="38" t="s">
        <v>213</v>
      </c>
      <c r="D51" s="39" t="s">
        <v>214</v>
      </c>
      <c r="E51" s="39" t="s">
        <v>215</v>
      </c>
      <c r="F51" s="39" t="s">
        <v>216</v>
      </c>
      <c r="G51" s="39" t="s">
        <v>217</v>
      </c>
      <c r="H51" s="39" t="s">
        <v>135</v>
      </c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spans="1:26" ht="12.75" customHeight="1" x14ac:dyDescent="0.25">
      <c r="A52" s="38">
        <v>42</v>
      </c>
      <c r="B52" s="38" t="s">
        <v>212</v>
      </c>
      <c r="C52" s="38" t="s">
        <v>213</v>
      </c>
      <c r="D52" s="39" t="s">
        <v>218</v>
      </c>
      <c r="E52" s="39" t="s">
        <v>215</v>
      </c>
      <c r="F52" s="39" t="s">
        <v>216</v>
      </c>
      <c r="G52" s="39" t="s">
        <v>219</v>
      </c>
      <c r="H52" s="39" t="s">
        <v>135</v>
      </c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spans="1:26" ht="12.75" customHeight="1" x14ac:dyDescent="0.25">
      <c r="A53" s="38">
        <v>43</v>
      </c>
      <c r="B53" s="38" t="s">
        <v>212</v>
      </c>
      <c r="C53" s="38" t="s">
        <v>213</v>
      </c>
      <c r="D53" s="39" t="s">
        <v>220</v>
      </c>
      <c r="E53" s="39" t="s">
        <v>215</v>
      </c>
      <c r="F53" s="39" t="s">
        <v>216</v>
      </c>
      <c r="G53" s="39" t="s">
        <v>221</v>
      </c>
      <c r="H53" s="39" t="s">
        <v>135</v>
      </c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6" ht="12.75" customHeight="1" x14ac:dyDescent="0.25">
      <c r="A54" s="38">
        <v>44</v>
      </c>
      <c r="B54" s="38" t="s">
        <v>222</v>
      </c>
      <c r="C54" s="38" t="s">
        <v>223</v>
      </c>
      <c r="D54" s="39" t="s">
        <v>224</v>
      </c>
      <c r="E54" s="39" t="s">
        <v>225</v>
      </c>
      <c r="F54" s="39" t="s">
        <v>226</v>
      </c>
      <c r="G54" s="39" t="s">
        <v>227</v>
      </c>
      <c r="H54" s="39" t="s">
        <v>135</v>
      </c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1:26" ht="12.75" customHeight="1" x14ac:dyDescent="0.25">
      <c r="A55" s="38">
        <v>45</v>
      </c>
      <c r="B55" s="38" t="s">
        <v>222</v>
      </c>
      <c r="C55" s="38" t="s">
        <v>223</v>
      </c>
      <c r="D55" s="39" t="s">
        <v>228</v>
      </c>
      <c r="E55" s="39" t="s">
        <v>225</v>
      </c>
      <c r="F55" s="39" t="s">
        <v>226</v>
      </c>
      <c r="G55" s="39" t="s">
        <v>229</v>
      </c>
      <c r="H55" s="39" t="s">
        <v>135</v>
      </c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6" ht="12.75" customHeight="1" x14ac:dyDescent="0.25">
      <c r="A56" s="38">
        <v>46</v>
      </c>
      <c r="B56" s="38" t="s">
        <v>222</v>
      </c>
      <c r="C56" s="38" t="s">
        <v>223</v>
      </c>
      <c r="D56" s="39" t="s">
        <v>230</v>
      </c>
      <c r="E56" s="39" t="s">
        <v>225</v>
      </c>
      <c r="F56" s="39" t="s">
        <v>226</v>
      </c>
      <c r="G56" s="39" t="s">
        <v>231</v>
      </c>
      <c r="H56" s="39" t="s">
        <v>135</v>
      </c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6" ht="12.75" customHeight="1" x14ac:dyDescent="0.25">
      <c r="A57" s="38">
        <v>47</v>
      </c>
      <c r="B57" s="38" t="s">
        <v>222</v>
      </c>
      <c r="C57" s="38" t="s">
        <v>223</v>
      </c>
      <c r="D57" s="39" t="s">
        <v>232</v>
      </c>
      <c r="E57" s="39" t="s">
        <v>225</v>
      </c>
      <c r="F57" s="39" t="s">
        <v>226</v>
      </c>
      <c r="G57" s="39" t="s">
        <v>233</v>
      </c>
      <c r="H57" s="39" t="s">
        <v>135</v>
      </c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6" ht="12.75" customHeight="1" x14ac:dyDescent="0.25">
      <c r="A58" s="38">
        <v>48</v>
      </c>
      <c r="B58" s="38" t="s">
        <v>222</v>
      </c>
      <c r="C58" s="38" t="s">
        <v>223</v>
      </c>
      <c r="D58" s="39" t="s">
        <v>234</v>
      </c>
      <c r="E58" s="39" t="s">
        <v>225</v>
      </c>
      <c r="F58" s="39" t="s">
        <v>226</v>
      </c>
      <c r="G58" s="39" t="s">
        <v>235</v>
      </c>
      <c r="H58" s="39" t="s">
        <v>135</v>
      </c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6" ht="12.75" customHeight="1" x14ac:dyDescent="0.25">
      <c r="A59" s="38">
        <v>49</v>
      </c>
      <c r="B59" s="38" t="s">
        <v>222</v>
      </c>
      <c r="C59" s="38" t="s">
        <v>223</v>
      </c>
      <c r="D59" s="39" t="s">
        <v>236</v>
      </c>
      <c r="E59" s="39" t="s">
        <v>225</v>
      </c>
      <c r="F59" s="39" t="s">
        <v>226</v>
      </c>
      <c r="G59" s="39" t="s">
        <v>237</v>
      </c>
      <c r="H59" s="39" t="s">
        <v>135</v>
      </c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6" ht="12.75" customHeight="1" x14ac:dyDescent="0.25">
      <c r="A60" s="38">
        <v>50</v>
      </c>
      <c r="B60" s="38" t="s">
        <v>222</v>
      </c>
      <c r="C60" s="38" t="s">
        <v>223</v>
      </c>
      <c r="D60" s="39" t="s">
        <v>238</v>
      </c>
      <c r="E60" s="39" t="s">
        <v>225</v>
      </c>
      <c r="F60" s="39" t="s">
        <v>226</v>
      </c>
      <c r="G60" s="39" t="s">
        <v>239</v>
      </c>
      <c r="H60" s="39" t="s">
        <v>135</v>
      </c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6" ht="12.75" customHeight="1" x14ac:dyDescent="0.25">
      <c r="A61" s="38">
        <v>51</v>
      </c>
      <c r="B61" s="38" t="s">
        <v>240</v>
      </c>
      <c r="C61" s="38" t="s">
        <v>241</v>
      </c>
      <c r="D61" s="39" t="s">
        <v>242</v>
      </c>
      <c r="E61" s="39" t="s">
        <v>243</v>
      </c>
      <c r="F61" s="39" t="s">
        <v>244</v>
      </c>
      <c r="G61" s="39" t="s">
        <v>245</v>
      </c>
      <c r="H61" s="39" t="s">
        <v>135</v>
      </c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6" ht="12.75" customHeight="1" x14ac:dyDescent="0.25">
      <c r="A62" s="38">
        <v>52</v>
      </c>
      <c r="B62" s="38" t="s">
        <v>240</v>
      </c>
      <c r="C62" s="38" t="s">
        <v>241</v>
      </c>
      <c r="D62" s="39" t="s">
        <v>246</v>
      </c>
      <c r="E62" s="39" t="s">
        <v>243</v>
      </c>
      <c r="F62" s="39" t="s">
        <v>244</v>
      </c>
      <c r="G62" s="39" t="s">
        <v>247</v>
      </c>
      <c r="H62" s="39" t="s">
        <v>135</v>
      </c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1:26" ht="12.75" customHeight="1" x14ac:dyDescent="0.25">
      <c r="A63" s="38">
        <v>53</v>
      </c>
      <c r="B63" s="38" t="s">
        <v>240</v>
      </c>
      <c r="C63" s="38" t="s">
        <v>241</v>
      </c>
      <c r="D63" s="39" t="s">
        <v>248</v>
      </c>
      <c r="E63" s="39" t="s">
        <v>243</v>
      </c>
      <c r="F63" s="39" t="s">
        <v>244</v>
      </c>
      <c r="G63" s="39" t="s">
        <v>249</v>
      </c>
      <c r="H63" s="39" t="s">
        <v>135</v>
      </c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6" ht="12.75" customHeight="1" x14ac:dyDescent="0.25">
      <c r="A64" s="38">
        <v>54</v>
      </c>
      <c r="B64" s="38" t="s">
        <v>240</v>
      </c>
      <c r="C64" s="38" t="s">
        <v>241</v>
      </c>
      <c r="D64" s="39" t="s">
        <v>250</v>
      </c>
      <c r="E64" s="39" t="s">
        <v>243</v>
      </c>
      <c r="F64" s="39" t="s">
        <v>244</v>
      </c>
      <c r="G64" s="39" t="s">
        <v>251</v>
      </c>
      <c r="H64" s="39" t="s">
        <v>135</v>
      </c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26" ht="12.75" customHeight="1" x14ac:dyDescent="0.25">
      <c r="A65" s="38">
        <v>55</v>
      </c>
      <c r="B65" s="38" t="s">
        <v>240</v>
      </c>
      <c r="C65" s="38" t="s">
        <v>241</v>
      </c>
      <c r="D65" s="39" t="s">
        <v>252</v>
      </c>
      <c r="E65" s="39" t="s">
        <v>243</v>
      </c>
      <c r="F65" s="39" t="s">
        <v>244</v>
      </c>
      <c r="G65" s="39" t="s">
        <v>253</v>
      </c>
      <c r="H65" s="39" t="s">
        <v>135</v>
      </c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 ht="12.75" customHeight="1" x14ac:dyDescent="0.25">
      <c r="A66" s="38">
        <v>56</v>
      </c>
      <c r="B66" s="38" t="s">
        <v>254</v>
      </c>
      <c r="C66" s="38" t="s">
        <v>255</v>
      </c>
      <c r="D66" s="39" t="s">
        <v>256</v>
      </c>
      <c r="E66" s="39" t="s">
        <v>243</v>
      </c>
      <c r="F66" s="39" t="s">
        <v>257</v>
      </c>
      <c r="G66" s="39" t="s">
        <v>258</v>
      </c>
      <c r="H66" s="39" t="s">
        <v>135</v>
      </c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 ht="12.75" customHeight="1" x14ac:dyDescent="0.25">
      <c r="A67" s="38">
        <v>57</v>
      </c>
      <c r="B67" s="38" t="s">
        <v>254</v>
      </c>
      <c r="C67" s="38" t="s">
        <v>255</v>
      </c>
      <c r="D67" s="39" t="s">
        <v>259</v>
      </c>
      <c r="E67" s="39" t="s">
        <v>243</v>
      </c>
      <c r="F67" s="39" t="s">
        <v>257</v>
      </c>
      <c r="G67" s="39" t="s">
        <v>260</v>
      </c>
      <c r="H67" s="39" t="s">
        <v>135</v>
      </c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 ht="12.75" customHeight="1" x14ac:dyDescent="0.25">
      <c r="A68" s="38">
        <v>58</v>
      </c>
      <c r="B68" s="38" t="s">
        <v>254</v>
      </c>
      <c r="C68" s="38" t="s">
        <v>255</v>
      </c>
      <c r="D68" s="39" t="s">
        <v>261</v>
      </c>
      <c r="E68" s="39" t="s">
        <v>243</v>
      </c>
      <c r="F68" s="39" t="s">
        <v>257</v>
      </c>
      <c r="G68" s="39" t="s">
        <v>262</v>
      </c>
      <c r="H68" s="39" t="s">
        <v>135</v>
      </c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 ht="12.75" customHeight="1" x14ac:dyDescent="0.25">
      <c r="A69" s="38">
        <v>59</v>
      </c>
      <c r="B69" s="38" t="s">
        <v>254</v>
      </c>
      <c r="C69" s="38" t="s">
        <v>255</v>
      </c>
      <c r="D69" s="39" t="s">
        <v>263</v>
      </c>
      <c r="E69" s="39" t="s">
        <v>243</v>
      </c>
      <c r="F69" s="39" t="s">
        <v>257</v>
      </c>
      <c r="G69" s="39" t="s">
        <v>264</v>
      </c>
      <c r="H69" s="39" t="s">
        <v>135</v>
      </c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 ht="12.75" customHeight="1" x14ac:dyDescent="0.25">
      <c r="A70" s="38">
        <v>60</v>
      </c>
      <c r="B70" s="38" t="s">
        <v>254</v>
      </c>
      <c r="C70" s="38" t="s">
        <v>255</v>
      </c>
      <c r="D70" s="39" t="s">
        <v>265</v>
      </c>
      <c r="E70" s="39" t="s">
        <v>243</v>
      </c>
      <c r="F70" s="39" t="s">
        <v>257</v>
      </c>
      <c r="G70" s="39" t="s">
        <v>266</v>
      </c>
      <c r="H70" s="39" t="s">
        <v>135</v>
      </c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 ht="12.75" customHeight="1" x14ac:dyDescent="0.25">
      <c r="A71" s="38">
        <v>61</v>
      </c>
      <c r="B71" s="38" t="s">
        <v>254</v>
      </c>
      <c r="C71" s="38" t="s">
        <v>255</v>
      </c>
      <c r="D71" s="39" t="s">
        <v>267</v>
      </c>
      <c r="E71" s="39" t="s">
        <v>243</v>
      </c>
      <c r="F71" s="39" t="s">
        <v>257</v>
      </c>
      <c r="G71" s="39" t="s">
        <v>268</v>
      </c>
      <c r="H71" s="39" t="s">
        <v>135</v>
      </c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 ht="12.75" customHeight="1" x14ac:dyDescent="0.25">
      <c r="A72" s="38">
        <v>62</v>
      </c>
      <c r="B72" s="38" t="s">
        <v>254</v>
      </c>
      <c r="C72" s="38" t="s">
        <v>255</v>
      </c>
      <c r="D72" s="39" t="s">
        <v>269</v>
      </c>
      <c r="E72" s="39" t="s">
        <v>243</v>
      </c>
      <c r="F72" s="39" t="s">
        <v>257</v>
      </c>
      <c r="G72" s="39" t="s">
        <v>270</v>
      </c>
      <c r="H72" s="39" t="s">
        <v>135</v>
      </c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 ht="12.75" customHeight="1" x14ac:dyDescent="0.25">
      <c r="A73" s="38">
        <v>63</v>
      </c>
      <c r="B73" s="38" t="s">
        <v>254</v>
      </c>
      <c r="C73" s="38" t="s">
        <v>255</v>
      </c>
      <c r="D73" s="39" t="s">
        <v>271</v>
      </c>
      <c r="E73" s="39" t="s">
        <v>243</v>
      </c>
      <c r="F73" s="39" t="s">
        <v>257</v>
      </c>
      <c r="G73" s="39" t="s">
        <v>272</v>
      </c>
      <c r="H73" s="39" t="s">
        <v>135</v>
      </c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 ht="12.75" customHeight="1" x14ac:dyDescent="0.25">
      <c r="A74" s="38">
        <v>64</v>
      </c>
      <c r="B74" s="38" t="s">
        <v>254</v>
      </c>
      <c r="C74" s="38" t="s">
        <v>255</v>
      </c>
      <c r="D74" s="39" t="s">
        <v>273</v>
      </c>
      <c r="E74" s="39" t="s">
        <v>243</v>
      </c>
      <c r="F74" s="39" t="s">
        <v>257</v>
      </c>
      <c r="G74" s="39" t="s">
        <v>274</v>
      </c>
      <c r="H74" s="39" t="s">
        <v>135</v>
      </c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1:26" ht="12.75" customHeight="1" x14ac:dyDescent="0.25">
      <c r="A75" s="38">
        <v>65</v>
      </c>
      <c r="B75" s="38" t="s">
        <v>275</v>
      </c>
      <c r="C75" s="38" t="s">
        <v>276</v>
      </c>
      <c r="D75" s="39" t="s">
        <v>277</v>
      </c>
      <c r="E75" s="39" t="s">
        <v>278</v>
      </c>
      <c r="F75" s="39" t="s">
        <v>279</v>
      </c>
      <c r="G75" s="39" t="s">
        <v>280</v>
      </c>
      <c r="H75" s="39" t="s">
        <v>135</v>
      </c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 ht="12.75" customHeight="1" x14ac:dyDescent="0.25">
      <c r="A76" s="38">
        <v>66</v>
      </c>
      <c r="B76" s="38" t="s">
        <v>275</v>
      </c>
      <c r="C76" s="38" t="s">
        <v>276</v>
      </c>
      <c r="D76" s="39" t="s">
        <v>281</v>
      </c>
      <c r="E76" s="39" t="s">
        <v>278</v>
      </c>
      <c r="F76" s="39" t="s">
        <v>279</v>
      </c>
      <c r="G76" s="39" t="s">
        <v>282</v>
      </c>
      <c r="H76" s="39" t="s">
        <v>135</v>
      </c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 ht="12.75" customHeight="1" x14ac:dyDescent="0.25">
      <c r="A77" s="38">
        <v>67</v>
      </c>
      <c r="B77" s="38" t="s">
        <v>275</v>
      </c>
      <c r="C77" s="38" t="s">
        <v>276</v>
      </c>
      <c r="D77" s="39" t="s">
        <v>283</v>
      </c>
      <c r="E77" s="39" t="s">
        <v>278</v>
      </c>
      <c r="F77" s="39" t="s">
        <v>279</v>
      </c>
      <c r="G77" s="39" t="s">
        <v>284</v>
      </c>
      <c r="H77" s="39" t="s">
        <v>135</v>
      </c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 ht="12.75" customHeight="1" x14ac:dyDescent="0.25">
      <c r="A78" s="38">
        <v>68</v>
      </c>
      <c r="B78" s="38" t="s">
        <v>275</v>
      </c>
      <c r="C78" s="38" t="s">
        <v>276</v>
      </c>
      <c r="D78" s="39" t="s">
        <v>285</v>
      </c>
      <c r="E78" s="39" t="s">
        <v>278</v>
      </c>
      <c r="F78" s="39" t="s">
        <v>279</v>
      </c>
      <c r="G78" s="39" t="s">
        <v>286</v>
      </c>
      <c r="H78" s="39" t="s">
        <v>135</v>
      </c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 ht="12.75" customHeight="1" x14ac:dyDescent="0.25">
      <c r="A79" s="38">
        <v>69</v>
      </c>
      <c r="B79" s="38" t="s">
        <v>275</v>
      </c>
      <c r="C79" s="38" t="s">
        <v>276</v>
      </c>
      <c r="D79" s="39" t="s">
        <v>287</v>
      </c>
      <c r="E79" s="39" t="s">
        <v>278</v>
      </c>
      <c r="F79" s="39" t="s">
        <v>279</v>
      </c>
      <c r="G79" s="39" t="s">
        <v>288</v>
      </c>
      <c r="H79" s="39" t="s">
        <v>135</v>
      </c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 ht="12.75" customHeight="1" x14ac:dyDescent="0.25">
      <c r="A80" s="38">
        <v>70</v>
      </c>
      <c r="B80" s="38" t="s">
        <v>275</v>
      </c>
      <c r="C80" s="38" t="s">
        <v>276</v>
      </c>
      <c r="D80" s="39" t="s">
        <v>289</v>
      </c>
      <c r="E80" s="39" t="s">
        <v>278</v>
      </c>
      <c r="F80" s="39" t="s">
        <v>279</v>
      </c>
      <c r="G80" s="39" t="s">
        <v>290</v>
      </c>
      <c r="H80" s="39" t="s">
        <v>135</v>
      </c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 ht="12.75" customHeight="1" x14ac:dyDescent="0.25">
      <c r="A81" s="38">
        <v>71</v>
      </c>
      <c r="B81" s="38" t="s">
        <v>291</v>
      </c>
      <c r="C81" s="38" t="s">
        <v>292</v>
      </c>
      <c r="D81" s="39" t="s">
        <v>293</v>
      </c>
      <c r="E81" s="39" t="s">
        <v>193</v>
      </c>
      <c r="F81" s="39" t="s">
        <v>294</v>
      </c>
      <c r="G81" s="39" t="s">
        <v>295</v>
      </c>
      <c r="H81" s="39" t="s">
        <v>135</v>
      </c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 ht="12.75" customHeight="1" x14ac:dyDescent="0.25">
      <c r="A82" s="38">
        <v>72</v>
      </c>
      <c r="B82" s="38" t="s">
        <v>291</v>
      </c>
      <c r="C82" s="38" t="s">
        <v>292</v>
      </c>
      <c r="D82" s="39" t="s">
        <v>296</v>
      </c>
      <c r="E82" s="39" t="s">
        <v>193</v>
      </c>
      <c r="F82" s="39" t="s">
        <v>294</v>
      </c>
      <c r="G82" s="39" t="s">
        <v>297</v>
      </c>
      <c r="H82" s="39" t="s">
        <v>135</v>
      </c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 ht="12.75" customHeight="1" x14ac:dyDescent="0.25">
      <c r="A83" s="38">
        <v>73</v>
      </c>
      <c r="B83" s="38" t="s">
        <v>291</v>
      </c>
      <c r="C83" s="38" t="s">
        <v>292</v>
      </c>
      <c r="D83" s="39" t="s">
        <v>298</v>
      </c>
      <c r="E83" s="39" t="s">
        <v>193</v>
      </c>
      <c r="F83" s="39" t="s">
        <v>294</v>
      </c>
      <c r="G83" s="39" t="s">
        <v>299</v>
      </c>
      <c r="H83" s="39" t="s">
        <v>135</v>
      </c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 ht="12.75" customHeight="1" x14ac:dyDescent="0.25">
      <c r="A84" s="38">
        <v>74</v>
      </c>
      <c r="B84" s="38" t="s">
        <v>291</v>
      </c>
      <c r="C84" s="38" t="s">
        <v>292</v>
      </c>
      <c r="D84" s="39" t="s">
        <v>300</v>
      </c>
      <c r="E84" s="39" t="s">
        <v>193</v>
      </c>
      <c r="F84" s="39" t="s">
        <v>294</v>
      </c>
      <c r="G84" s="39" t="s">
        <v>301</v>
      </c>
      <c r="H84" s="39" t="s">
        <v>135</v>
      </c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1:26" ht="12.75" customHeight="1" x14ac:dyDescent="0.25">
      <c r="A85" s="38">
        <v>75</v>
      </c>
      <c r="B85" s="38" t="s">
        <v>291</v>
      </c>
      <c r="C85" s="38" t="s">
        <v>292</v>
      </c>
      <c r="D85" s="39" t="s">
        <v>302</v>
      </c>
      <c r="E85" s="39" t="s">
        <v>193</v>
      </c>
      <c r="F85" s="39" t="s">
        <v>294</v>
      </c>
      <c r="G85" s="39" t="s">
        <v>303</v>
      </c>
      <c r="H85" s="39" t="s">
        <v>135</v>
      </c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 ht="12.75" customHeight="1" x14ac:dyDescent="0.25">
      <c r="A86" s="38">
        <v>76</v>
      </c>
      <c r="B86" s="38" t="s">
        <v>291</v>
      </c>
      <c r="C86" s="38" t="s">
        <v>292</v>
      </c>
      <c r="D86" s="39" t="s">
        <v>304</v>
      </c>
      <c r="E86" s="39" t="s">
        <v>193</v>
      </c>
      <c r="F86" s="39" t="s">
        <v>294</v>
      </c>
      <c r="G86" s="39" t="s">
        <v>305</v>
      </c>
      <c r="H86" s="39" t="s">
        <v>135</v>
      </c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 ht="12.75" customHeight="1" x14ac:dyDescent="0.25">
      <c r="A87" s="38">
        <v>77</v>
      </c>
      <c r="B87" s="38" t="s">
        <v>291</v>
      </c>
      <c r="C87" s="38" t="s">
        <v>292</v>
      </c>
      <c r="D87" s="39" t="s">
        <v>306</v>
      </c>
      <c r="E87" s="39" t="s">
        <v>193</v>
      </c>
      <c r="F87" s="39" t="s">
        <v>294</v>
      </c>
      <c r="G87" s="39" t="s">
        <v>307</v>
      </c>
      <c r="H87" s="39" t="s">
        <v>135</v>
      </c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 ht="12.75" customHeight="1" x14ac:dyDescent="0.25">
      <c r="A88" s="38">
        <v>78</v>
      </c>
      <c r="B88" s="38" t="s">
        <v>291</v>
      </c>
      <c r="C88" s="38" t="s">
        <v>292</v>
      </c>
      <c r="D88" s="39" t="s">
        <v>308</v>
      </c>
      <c r="E88" s="39" t="s">
        <v>193</v>
      </c>
      <c r="F88" s="39" t="s">
        <v>294</v>
      </c>
      <c r="G88" s="39" t="s">
        <v>309</v>
      </c>
      <c r="H88" s="39" t="s">
        <v>135</v>
      </c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 ht="12.75" customHeight="1" x14ac:dyDescent="0.25">
      <c r="A89" s="38">
        <v>79</v>
      </c>
      <c r="B89" s="38" t="s">
        <v>291</v>
      </c>
      <c r="C89" s="38" t="s">
        <v>292</v>
      </c>
      <c r="D89" s="39" t="s">
        <v>310</v>
      </c>
      <c r="E89" s="39" t="s">
        <v>193</v>
      </c>
      <c r="F89" s="39" t="s">
        <v>294</v>
      </c>
      <c r="G89" s="39" t="s">
        <v>311</v>
      </c>
      <c r="H89" s="39" t="s">
        <v>135</v>
      </c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 ht="12.75" customHeight="1" x14ac:dyDescent="0.25">
      <c r="A90" s="38">
        <v>80</v>
      </c>
      <c r="B90" s="38" t="s">
        <v>291</v>
      </c>
      <c r="C90" s="38" t="s">
        <v>292</v>
      </c>
      <c r="D90" s="39" t="s">
        <v>312</v>
      </c>
      <c r="E90" s="39" t="s">
        <v>193</v>
      </c>
      <c r="F90" s="39" t="s">
        <v>294</v>
      </c>
      <c r="G90" s="39" t="s">
        <v>313</v>
      </c>
      <c r="H90" s="39" t="s">
        <v>135</v>
      </c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1:26" ht="12.75" customHeight="1" x14ac:dyDescent="0.25">
      <c r="A91" s="38">
        <v>81</v>
      </c>
      <c r="B91" s="38" t="s">
        <v>314</v>
      </c>
      <c r="C91" s="38" t="s">
        <v>315</v>
      </c>
      <c r="D91" s="39" t="s">
        <v>316</v>
      </c>
      <c r="E91" s="39" t="s">
        <v>193</v>
      </c>
      <c r="F91" s="39" t="s">
        <v>317</v>
      </c>
      <c r="G91" s="39" t="s">
        <v>318</v>
      </c>
      <c r="H91" s="39" t="s">
        <v>135</v>
      </c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 ht="12.75" customHeight="1" x14ac:dyDescent="0.25">
      <c r="A92" s="38">
        <v>82</v>
      </c>
      <c r="B92" s="38" t="s">
        <v>314</v>
      </c>
      <c r="C92" s="38" t="s">
        <v>315</v>
      </c>
      <c r="D92" s="39" t="s">
        <v>319</v>
      </c>
      <c r="E92" s="39" t="s">
        <v>193</v>
      </c>
      <c r="F92" s="39" t="s">
        <v>317</v>
      </c>
      <c r="G92" s="39" t="s">
        <v>320</v>
      </c>
      <c r="H92" s="39" t="s">
        <v>135</v>
      </c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 ht="12.75" customHeight="1" x14ac:dyDescent="0.25">
      <c r="A93" s="38">
        <v>83</v>
      </c>
      <c r="B93" s="38" t="s">
        <v>314</v>
      </c>
      <c r="C93" s="38" t="s">
        <v>315</v>
      </c>
      <c r="D93" s="39" t="s">
        <v>321</v>
      </c>
      <c r="E93" s="39" t="s">
        <v>193</v>
      </c>
      <c r="F93" s="39" t="s">
        <v>317</v>
      </c>
      <c r="G93" s="39" t="s">
        <v>322</v>
      </c>
      <c r="H93" s="39" t="s">
        <v>135</v>
      </c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 ht="12.75" customHeight="1" x14ac:dyDescent="0.25">
      <c r="A94" s="38">
        <v>84</v>
      </c>
      <c r="B94" s="38" t="s">
        <v>314</v>
      </c>
      <c r="C94" s="38" t="s">
        <v>315</v>
      </c>
      <c r="D94" s="39" t="s">
        <v>323</v>
      </c>
      <c r="E94" s="39" t="s">
        <v>193</v>
      </c>
      <c r="F94" s="39" t="s">
        <v>317</v>
      </c>
      <c r="G94" s="39" t="s">
        <v>324</v>
      </c>
      <c r="H94" s="39" t="s">
        <v>135</v>
      </c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1:26" ht="12.75" customHeight="1" x14ac:dyDescent="0.25">
      <c r="A95" s="38">
        <v>85</v>
      </c>
      <c r="B95" s="38" t="s">
        <v>314</v>
      </c>
      <c r="C95" s="38" t="s">
        <v>315</v>
      </c>
      <c r="D95" s="39" t="s">
        <v>325</v>
      </c>
      <c r="E95" s="39" t="s">
        <v>193</v>
      </c>
      <c r="F95" s="39" t="s">
        <v>317</v>
      </c>
      <c r="G95" s="39" t="s">
        <v>326</v>
      </c>
      <c r="H95" s="39" t="s">
        <v>135</v>
      </c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 ht="12.75" customHeight="1" x14ac:dyDescent="0.25">
      <c r="A96" s="38">
        <v>86</v>
      </c>
      <c r="B96" s="38" t="s">
        <v>314</v>
      </c>
      <c r="C96" s="38" t="s">
        <v>315</v>
      </c>
      <c r="D96" s="39" t="s">
        <v>327</v>
      </c>
      <c r="E96" s="39" t="s">
        <v>193</v>
      </c>
      <c r="F96" s="39" t="s">
        <v>317</v>
      </c>
      <c r="G96" s="39" t="s">
        <v>328</v>
      </c>
      <c r="H96" s="39" t="s">
        <v>135</v>
      </c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 ht="12.75" customHeight="1" x14ac:dyDescent="0.25">
      <c r="A97" s="38">
        <v>87</v>
      </c>
      <c r="B97" s="38" t="s">
        <v>314</v>
      </c>
      <c r="C97" s="38" t="s">
        <v>315</v>
      </c>
      <c r="D97" s="39" t="s">
        <v>329</v>
      </c>
      <c r="E97" s="39" t="s">
        <v>193</v>
      </c>
      <c r="F97" s="39" t="s">
        <v>317</v>
      </c>
      <c r="G97" s="39" t="s">
        <v>330</v>
      </c>
      <c r="H97" s="39" t="s">
        <v>135</v>
      </c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1:26" ht="12.75" customHeight="1" x14ac:dyDescent="0.25">
      <c r="A98" s="38">
        <v>88</v>
      </c>
      <c r="B98" s="38" t="s">
        <v>314</v>
      </c>
      <c r="C98" s="38" t="s">
        <v>315</v>
      </c>
      <c r="D98" s="39" t="s">
        <v>331</v>
      </c>
      <c r="E98" s="39" t="s">
        <v>193</v>
      </c>
      <c r="F98" s="39" t="s">
        <v>317</v>
      </c>
      <c r="G98" s="39" t="s">
        <v>332</v>
      </c>
      <c r="H98" s="39" t="s">
        <v>135</v>
      </c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 ht="12.75" customHeight="1" x14ac:dyDescent="0.25">
      <c r="A99" s="38">
        <v>89</v>
      </c>
      <c r="B99" s="38" t="s">
        <v>333</v>
      </c>
      <c r="C99" s="38" t="s">
        <v>334</v>
      </c>
      <c r="D99" s="39" t="s">
        <v>335</v>
      </c>
      <c r="E99" s="39" t="s">
        <v>161</v>
      </c>
      <c r="F99" s="39" t="s">
        <v>336</v>
      </c>
      <c r="G99" s="39" t="s">
        <v>337</v>
      </c>
      <c r="H99" s="39" t="s">
        <v>135</v>
      </c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1:26" ht="12.75" customHeight="1" x14ac:dyDescent="0.25">
      <c r="A100" s="38">
        <v>90</v>
      </c>
      <c r="B100" s="38" t="s">
        <v>333</v>
      </c>
      <c r="C100" s="38" t="s">
        <v>334</v>
      </c>
      <c r="D100" s="39" t="s">
        <v>338</v>
      </c>
      <c r="E100" s="39" t="s">
        <v>161</v>
      </c>
      <c r="F100" s="39" t="s">
        <v>336</v>
      </c>
      <c r="G100" s="39" t="s">
        <v>339</v>
      </c>
      <c r="H100" s="39" t="s">
        <v>135</v>
      </c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1:26" ht="12.75" customHeight="1" x14ac:dyDescent="0.25">
      <c r="A101" s="38">
        <v>91</v>
      </c>
      <c r="B101" s="38" t="s">
        <v>333</v>
      </c>
      <c r="C101" s="38" t="s">
        <v>334</v>
      </c>
      <c r="D101" s="39" t="s">
        <v>340</v>
      </c>
      <c r="E101" s="39" t="s">
        <v>161</v>
      </c>
      <c r="F101" s="39" t="s">
        <v>336</v>
      </c>
      <c r="G101" s="39" t="s">
        <v>341</v>
      </c>
      <c r="H101" s="39" t="s">
        <v>135</v>
      </c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1:26" ht="12.75" customHeight="1" x14ac:dyDescent="0.25">
      <c r="A102" s="38">
        <v>92</v>
      </c>
      <c r="B102" s="38" t="s">
        <v>333</v>
      </c>
      <c r="C102" s="38" t="s">
        <v>334</v>
      </c>
      <c r="D102" s="39" t="s">
        <v>342</v>
      </c>
      <c r="E102" s="39" t="s">
        <v>161</v>
      </c>
      <c r="F102" s="39" t="s">
        <v>336</v>
      </c>
      <c r="G102" s="39" t="s">
        <v>343</v>
      </c>
      <c r="H102" s="39" t="s">
        <v>135</v>
      </c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1:26" ht="12.75" customHeight="1" x14ac:dyDescent="0.25">
      <c r="A103" s="38">
        <v>93</v>
      </c>
      <c r="B103" s="38" t="s">
        <v>333</v>
      </c>
      <c r="C103" s="38" t="s">
        <v>334</v>
      </c>
      <c r="D103" s="39" t="s">
        <v>344</v>
      </c>
      <c r="E103" s="39" t="s">
        <v>161</v>
      </c>
      <c r="F103" s="39" t="s">
        <v>336</v>
      </c>
      <c r="G103" s="39" t="s">
        <v>345</v>
      </c>
      <c r="H103" s="39" t="s">
        <v>135</v>
      </c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1:26" ht="12.75" customHeight="1" x14ac:dyDescent="0.25">
      <c r="A104" s="38">
        <v>94</v>
      </c>
      <c r="B104" s="38" t="s">
        <v>346</v>
      </c>
      <c r="C104" s="38" t="s">
        <v>347</v>
      </c>
      <c r="D104" s="39" t="s">
        <v>348</v>
      </c>
      <c r="E104" s="39" t="s">
        <v>349</v>
      </c>
      <c r="F104" s="39" t="s">
        <v>350</v>
      </c>
      <c r="G104" s="39" t="s">
        <v>351</v>
      </c>
      <c r="H104" s="39" t="s">
        <v>135</v>
      </c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1:26" ht="12.75" customHeight="1" x14ac:dyDescent="0.25">
      <c r="A105" s="38">
        <v>95</v>
      </c>
      <c r="B105" s="38" t="s">
        <v>352</v>
      </c>
      <c r="C105" s="38" t="s">
        <v>353</v>
      </c>
      <c r="D105" s="39" t="s">
        <v>354</v>
      </c>
      <c r="E105" s="39" t="s">
        <v>278</v>
      </c>
      <c r="F105" s="39" t="s">
        <v>355</v>
      </c>
      <c r="G105" s="39" t="s">
        <v>356</v>
      </c>
      <c r="H105" s="39" t="s">
        <v>135</v>
      </c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1:26" ht="12.75" customHeight="1" x14ac:dyDescent="0.25">
      <c r="A106" s="38">
        <v>96</v>
      </c>
      <c r="B106" s="38" t="s">
        <v>357</v>
      </c>
      <c r="C106" s="38" t="s">
        <v>358</v>
      </c>
      <c r="D106" s="39" t="s">
        <v>359</v>
      </c>
      <c r="E106" s="39" t="s">
        <v>132</v>
      </c>
      <c r="F106" s="39" t="s">
        <v>360</v>
      </c>
      <c r="G106" s="39" t="s">
        <v>361</v>
      </c>
      <c r="H106" s="39" t="s">
        <v>135</v>
      </c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1:26" ht="12.75" customHeight="1" x14ac:dyDescent="0.25">
      <c r="A107" s="38">
        <v>97</v>
      </c>
      <c r="B107" s="38" t="s">
        <v>357</v>
      </c>
      <c r="C107" s="38" t="s">
        <v>358</v>
      </c>
      <c r="D107" s="39" t="s">
        <v>362</v>
      </c>
      <c r="E107" s="39" t="s">
        <v>132</v>
      </c>
      <c r="F107" s="39" t="s">
        <v>360</v>
      </c>
      <c r="G107" s="39" t="s">
        <v>363</v>
      </c>
      <c r="H107" s="39" t="s">
        <v>135</v>
      </c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1:26" ht="12.75" customHeight="1" x14ac:dyDescent="0.25">
      <c r="A108" s="38">
        <v>98</v>
      </c>
      <c r="B108" s="38" t="s">
        <v>357</v>
      </c>
      <c r="C108" s="38" t="s">
        <v>358</v>
      </c>
      <c r="D108" s="39" t="s">
        <v>364</v>
      </c>
      <c r="E108" s="39" t="s">
        <v>132</v>
      </c>
      <c r="F108" s="39" t="s">
        <v>360</v>
      </c>
      <c r="G108" s="39" t="s">
        <v>365</v>
      </c>
      <c r="H108" s="39" t="s">
        <v>135</v>
      </c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1:26" ht="12.75" customHeight="1" x14ac:dyDescent="0.25">
      <c r="A109" s="38">
        <v>99</v>
      </c>
      <c r="B109" s="38" t="s">
        <v>357</v>
      </c>
      <c r="C109" s="38" t="s">
        <v>358</v>
      </c>
      <c r="D109" s="39" t="s">
        <v>366</v>
      </c>
      <c r="E109" s="39" t="s">
        <v>132</v>
      </c>
      <c r="F109" s="39" t="s">
        <v>360</v>
      </c>
      <c r="G109" s="39" t="s">
        <v>367</v>
      </c>
      <c r="H109" s="39" t="s">
        <v>135</v>
      </c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1:26" ht="12.75" customHeight="1" x14ac:dyDescent="0.25">
      <c r="A110" s="38">
        <v>100</v>
      </c>
      <c r="B110" s="38" t="s">
        <v>357</v>
      </c>
      <c r="C110" s="38" t="s">
        <v>358</v>
      </c>
      <c r="D110" s="39" t="s">
        <v>368</v>
      </c>
      <c r="E110" s="39" t="s">
        <v>132</v>
      </c>
      <c r="F110" s="39" t="s">
        <v>360</v>
      </c>
      <c r="G110" s="39" t="s">
        <v>369</v>
      </c>
      <c r="H110" s="39" t="s">
        <v>135</v>
      </c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1:26" ht="12.75" customHeight="1" x14ac:dyDescent="0.25">
      <c r="A111" s="38">
        <v>101</v>
      </c>
      <c r="B111" s="38" t="s">
        <v>357</v>
      </c>
      <c r="C111" s="38" t="s">
        <v>358</v>
      </c>
      <c r="D111" s="39" t="s">
        <v>370</v>
      </c>
      <c r="E111" s="39" t="s">
        <v>132</v>
      </c>
      <c r="F111" s="39" t="s">
        <v>360</v>
      </c>
      <c r="G111" s="39" t="s">
        <v>371</v>
      </c>
      <c r="H111" s="39" t="s">
        <v>135</v>
      </c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1:26" ht="12.75" customHeight="1" x14ac:dyDescent="0.25">
      <c r="A112" s="38">
        <v>102</v>
      </c>
      <c r="B112" s="38" t="s">
        <v>357</v>
      </c>
      <c r="C112" s="38" t="s">
        <v>358</v>
      </c>
      <c r="D112" s="39" t="s">
        <v>372</v>
      </c>
      <c r="E112" s="39" t="s">
        <v>132</v>
      </c>
      <c r="F112" s="39" t="s">
        <v>360</v>
      </c>
      <c r="G112" s="39" t="s">
        <v>373</v>
      </c>
      <c r="H112" s="39" t="s">
        <v>135</v>
      </c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1:26" ht="12.75" customHeight="1" x14ac:dyDescent="0.25">
      <c r="A113" s="38">
        <v>103</v>
      </c>
      <c r="B113" s="38" t="s">
        <v>357</v>
      </c>
      <c r="C113" s="38" t="s">
        <v>358</v>
      </c>
      <c r="D113" s="39" t="s">
        <v>374</v>
      </c>
      <c r="E113" s="39" t="s">
        <v>132</v>
      </c>
      <c r="F113" s="39" t="s">
        <v>360</v>
      </c>
      <c r="G113" s="39" t="s">
        <v>375</v>
      </c>
      <c r="H113" s="39" t="s">
        <v>135</v>
      </c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1:26" ht="12.75" customHeight="1" x14ac:dyDescent="0.25">
      <c r="A114" s="38">
        <v>104</v>
      </c>
      <c r="B114" s="38" t="s">
        <v>357</v>
      </c>
      <c r="C114" s="38" t="s">
        <v>358</v>
      </c>
      <c r="D114" s="39" t="s">
        <v>376</v>
      </c>
      <c r="E114" s="39" t="s">
        <v>132</v>
      </c>
      <c r="F114" s="39" t="s">
        <v>360</v>
      </c>
      <c r="G114" s="39" t="s">
        <v>377</v>
      </c>
      <c r="H114" s="39" t="s">
        <v>135</v>
      </c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1:26" ht="12.75" customHeight="1" x14ac:dyDescent="0.25">
      <c r="A115" s="38">
        <v>105</v>
      </c>
      <c r="B115" s="38" t="s">
        <v>357</v>
      </c>
      <c r="C115" s="38" t="s">
        <v>358</v>
      </c>
      <c r="D115" s="39" t="s">
        <v>378</v>
      </c>
      <c r="E115" s="39" t="s">
        <v>132</v>
      </c>
      <c r="F115" s="39" t="s">
        <v>360</v>
      </c>
      <c r="G115" s="39" t="s">
        <v>379</v>
      </c>
      <c r="H115" s="39" t="s">
        <v>135</v>
      </c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1:26" ht="12.75" customHeight="1" x14ac:dyDescent="0.25">
      <c r="A116" s="38">
        <v>106</v>
      </c>
      <c r="B116" s="38" t="s">
        <v>380</v>
      </c>
      <c r="C116" s="38" t="s">
        <v>381</v>
      </c>
      <c r="D116" s="39" t="s">
        <v>382</v>
      </c>
      <c r="E116" s="39" t="s">
        <v>161</v>
      </c>
      <c r="F116" s="39" t="s">
        <v>383</v>
      </c>
      <c r="G116" s="39" t="s">
        <v>384</v>
      </c>
      <c r="H116" s="39" t="s">
        <v>135</v>
      </c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1:26" ht="12.75" customHeight="1" x14ac:dyDescent="0.25">
      <c r="A117" s="38">
        <v>107</v>
      </c>
      <c r="B117" s="38" t="s">
        <v>380</v>
      </c>
      <c r="C117" s="38" t="s">
        <v>381</v>
      </c>
      <c r="D117" s="39" t="s">
        <v>385</v>
      </c>
      <c r="E117" s="39" t="s">
        <v>161</v>
      </c>
      <c r="F117" s="39" t="s">
        <v>383</v>
      </c>
      <c r="G117" s="39" t="s">
        <v>386</v>
      </c>
      <c r="H117" s="39" t="s">
        <v>135</v>
      </c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1:26" ht="12.75" customHeight="1" x14ac:dyDescent="0.25">
      <c r="A118" s="38">
        <v>108</v>
      </c>
      <c r="B118" s="38" t="s">
        <v>380</v>
      </c>
      <c r="C118" s="38" t="s">
        <v>381</v>
      </c>
      <c r="D118" s="39" t="s">
        <v>387</v>
      </c>
      <c r="E118" s="39" t="s">
        <v>161</v>
      </c>
      <c r="F118" s="39" t="s">
        <v>383</v>
      </c>
      <c r="G118" s="39" t="s">
        <v>388</v>
      </c>
      <c r="H118" s="39" t="s">
        <v>135</v>
      </c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6" ht="12.75" customHeight="1" x14ac:dyDescent="0.25">
      <c r="A119" s="38">
        <v>109</v>
      </c>
      <c r="B119" s="38" t="s">
        <v>380</v>
      </c>
      <c r="C119" s="38" t="s">
        <v>381</v>
      </c>
      <c r="D119" s="39" t="s">
        <v>389</v>
      </c>
      <c r="E119" s="39" t="s">
        <v>161</v>
      </c>
      <c r="F119" s="39" t="s">
        <v>383</v>
      </c>
      <c r="G119" s="39" t="s">
        <v>390</v>
      </c>
      <c r="H119" s="39" t="s">
        <v>135</v>
      </c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1:26" ht="12.75" customHeight="1" x14ac:dyDescent="0.25">
      <c r="A120" s="38">
        <v>110</v>
      </c>
      <c r="B120" s="38" t="s">
        <v>380</v>
      </c>
      <c r="C120" s="38" t="s">
        <v>381</v>
      </c>
      <c r="D120" s="39" t="s">
        <v>391</v>
      </c>
      <c r="E120" s="39" t="s">
        <v>161</v>
      </c>
      <c r="F120" s="39" t="s">
        <v>383</v>
      </c>
      <c r="G120" s="39" t="s">
        <v>392</v>
      </c>
      <c r="H120" s="39" t="s">
        <v>135</v>
      </c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1:26" ht="12.75" customHeight="1" x14ac:dyDescent="0.25">
      <c r="A121" s="38">
        <v>111</v>
      </c>
      <c r="B121" s="38" t="s">
        <v>380</v>
      </c>
      <c r="C121" s="38" t="s">
        <v>381</v>
      </c>
      <c r="D121" s="39" t="s">
        <v>393</v>
      </c>
      <c r="E121" s="39" t="s">
        <v>161</v>
      </c>
      <c r="F121" s="39" t="s">
        <v>383</v>
      </c>
      <c r="G121" s="39" t="s">
        <v>394</v>
      </c>
      <c r="H121" s="39" t="s">
        <v>135</v>
      </c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1:26" ht="12.75" customHeight="1" x14ac:dyDescent="0.25">
      <c r="A122" s="38">
        <v>112</v>
      </c>
      <c r="B122" s="38" t="s">
        <v>380</v>
      </c>
      <c r="C122" s="38" t="s">
        <v>381</v>
      </c>
      <c r="D122" s="39" t="s">
        <v>395</v>
      </c>
      <c r="E122" s="39" t="s">
        <v>161</v>
      </c>
      <c r="F122" s="39" t="s">
        <v>383</v>
      </c>
      <c r="G122" s="39" t="s">
        <v>396</v>
      </c>
      <c r="H122" s="39" t="s">
        <v>135</v>
      </c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1:26" ht="12.75" customHeight="1" x14ac:dyDescent="0.25">
      <c r="A123" s="38">
        <v>113</v>
      </c>
      <c r="B123" s="38" t="s">
        <v>380</v>
      </c>
      <c r="C123" s="38" t="s">
        <v>381</v>
      </c>
      <c r="D123" s="39" t="s">
        <v>397</v>
      </c>
      <c r="E123" s="39" t="s">
        <v>161</v>
      </c>
      <c r="F123" s="39" t="s">
        <v>383</v>
      </c>
      <c r="G123" s="39" t="s">
        <v>398</v>
      </c>
      <c r="H123" s="39" t="s">
        <v>135</v>
      </c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 ht="12.75" customHeight="1" x14ac:dyDescent="0.25">
      <c r="A124" s="38">
        <v>114</v>
      </c>
      <c r="B124" s="38" t="s">
        <v>380</v>
      </c>
      <c r="C124" s="38" t="s">
        <v>381</v>
      </c>
      <c r="D124" s="39" t="s">
        <v>399</v>
      </c>
      <c r="E124" s="39" t="s">
        <v>161</v>
      </c>
      <c r="F124" s="39" t="s">
        <v>383</v>
      </c>
      <c r="G124" s="39" t="s">
        <v>400</v>
      </c>
      <c r="H124" s="39" t="s">
        <v>135</v>
      </c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1:26" ht="12.75" customHeight="1" x14ac:dyDescent="0.25">
      <c r="A125" s="38">
        <v>115</v>
      </c>
      <c r="B125" s="38" t="s">
        <v>380</v>
      </c>
      <c r="C125" s="38" t="s">
        <v>381</v>
      </c>
      <c r="D125" s="39" t="s">
        <v>401</v>
      </c>
      <c r="E125" s="39" t="s">
        <v>161</v>
      </c>
      <c r="F125" s="39" t="s">
        <v>383</v>
      </c>
      <c r="G125" s="39" t="s">
        <v>402</v>
      </c>
      <c r="H125" s="39" t="s">
        <v>135</v>
      </c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1:26" ht="12.75" customHeight="1" x14ac:dyDescent="0.25">
      <c r="A126" s="38">
        <v>116</v>
      </c>
      <c r="B126" s="38" t="s">
        <v>403</v>
      </c>
      <c r="C126" s="38" t="s">
        <v>404</v>
      </c>
      <c r="D126" s="39" t="s">
        <v>405</v>
      </c>
      <c r="E126" s="39" t="s">
        <v>243</v>
      </c>
      <c r="F126" s="39" t="s">
        <v>406</v>
      </c>
      <c r="G126" s="39" t="s">
        <v>407</v>
      </c>
      <c r="H126" s="39" t="s">
        <v>135</v>
      </c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1:26" ht="12.75" customHeight="1" x14ac:dyDescent="0.25">
      <c r="A127" s="38">
        <v>117</v>
      </c>
      <c r="B127" s="38" t="s">
        <v>403</v>
      </c>
      <c r="C127" s="38" t="s">
        <v>404</v>
      </c>
      <c r="D127" s="39" t="s">
        <v>408</v>
      </c>
      <c r="E127" s="39" t="s">
        <v>243</v>
      </c>
      <c r="F127" s="39" t="s">
        <v>406</v>
      </c>
      <c r="G127" s="39" t="s">
        <v>409</v>
      </c>
      <c r="H127" s="39" t="s">
        <v>135</v>
      </c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1:26" ht="12.75" customHeight="1" x14ac:dyDescent="0.25">
      <c r="A128" s="38">
        <v>118</v>
      </c>
      <c r="B128" s="38" t="s">
        <v>410</v>
      </c>
      <c r="C128" s="38" t="s">
        <v>411</v>
      </c>
      <c r="D128" s="39" t="s">
        <v>412</v>
      </c>
      <c r="E128" s="39" t="s">
        <v>225</v>
      </c>
      <c r="F128" s="39" t="s">
        <v>413</v>
      </c>
      <c r="G128" s="39" t="s">
        <v>414</v>
      </c>
      <c r="H128" s="39" t="s">
        <v>135</v>
      </c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1:26" ht="12.75" customHeight="1" x14ac:dyDescent="0.25">
      <c r="A129" s="38">
        <v>119</v>
      </c>
      <c r="B129" s="38" t="s">
        <v>410</v>
      </c>
      <c r="C129" s="38" t="s">
        <v>411</v>
      </c>
      <c r="D129" s="39" t="s">
        <v>415</v>
      </c>
      <c r="E129" s="39" t="s">
        <v>225</v>
      </c>
      <c r="F129" s="39" t="s">
        <v>413</v>
      </c>
      <c r="G129" s="39" t="s">
        <v>416</v>
      </c>
      <c r="H129" s="39" t="s">
        <v>135</v>
      </c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1:26" ht="12.75" customHeight="1" x14ac:dyDescent="0.25">
      <c r="A130" s="38">
        <v>120</v>
      </c>
      <c r="B130" s="38" t="s">
        <v>410</v>
      </c>
      <c r="C130" s="38" t="s">
        <v>411</v>
      </c>
      <c r="D130" s="39" t="s">
        <v>417</v>
      </c>
      <c r="E130" s="39" t="s">
        <v>225</v>
      </c>
      <c r="F130" s="39" t="s">
        <v>413</v>
      </c>
      <c r="G130" s="39" t="s">
        <v>418</v>
      </c>
      <c r="H130" s="39" t="s">
        <v>135</v>
      </c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1:26" ht="12.75" customHeight="1" x14ac:dyDescent="0.25">
      <c r="A131" s="38">
        <v>121</v>
      </c>
      <c r="B131" s="38" t="s">
        <v>410</v>
      </c>
      <c r="C131" s="38" t="s">
        <v>411</v>
      </c>
      <c r="D131" s="39" t="s">
        <v>419</v>
      </c>
      <c r="E131" s="39" t="s">
        <v>225</v>
      </c>
      <c r="F131" s="39" t="s">
        <v>413</v>
      </c>
      <c r="G131" s="39" t="s">
        <v>420</v>
      </c>
      <c r="H131" s="39" t="s">
        <v>135</v>
      </c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1:26" ht="12.75" customHeight="1" x14ac:dyDescent="0.25">
      <c r="A132" s="38">
        <v>122</v>
      </c>
      <c r="B132" s="38" t="s">
        <v>410</v>
      </c>
      <c r="C132" s="38" t="s">
        <v>411</v>
      </c>
      <c r="D132" s="39" t="s">
        <v>421</v>
      </c>
      <c r="E132" s="39" t="s">
        <v>225</v>
      </c>
      <c r="F132" s="39" t="s">
        <v>413</v>
      </c>
      <c r="G132" s="39" t="s">
        <v>422</v>
      </c>
      <c r="H132" s="39" t="s">
        <v>135</v>
      </c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1:26" ht="12.75" customHeight="1" x14ac:dyDescent="0.25">
      <c r="A133" s="38">
        <v>123</v>
      </c>
      <c r="B133" s="38" t="s">
        <v>410</v>
      </c>
      <c r="C133" s="38" t="s">
        <v>411</v>
      </c>
      <c r="D133" s="39" t="s">
        <v>423</v>
      </c>
      <c r="E133" s="39" t="s">
        <v>225</v>
      </c>
      <c r="F133" s="39" t="s">
        <v>413</v>
      </c>
      <c r="G133" s="39" t="s">
        <v>424</v>
      </c>
      <c r="H133" s="39" t="s">
        <v>135</v>
      </c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1:26" ht="12.75" customHeight="1" x14ac:dyDescent="0.25">
      <c r="A134" s="38">
        <v>124</v>
      </c>
      <c r="B134" s="38" t="s">
        <v>410</v>
      </c>
      <c r="C134" s="38" t="s">
        <v>411</v>
      </c>
      <c r="D134" s="39" t="s">
        <v>425</v>
      </c>
      <c r="E134" s="39" t="s">
        <v>225</v>
      </c>
      <c r="F134" s="39" t="s">
        <v>413</v>
      </c>
      <c r="G134" s="39" t="s">
        <v>426</v>
      </c>
      <c r="H134" s="39" t="s">
        <v>135</v>
      </c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 ht="12.75" customHeight="1" x14ac:dyDescent="0.25">
      <c r="A135" s="38">
        <v>125</v>
      </c>
      <c r="B135" s="38" t="s">
        <v>427</v>
      </c>
      <c r="C135" s="38" t="s">
        <v>428</v>
      </c>
      <c r="D135" s="39" t="s">
        <v>429</v>
      </c>
      <c r="E135" s="39" t="s">
        <v>193</v>
      </c>
      <c r="F135" s="39" t="s">
        <v>430</v>
      </c>
      <c r="G135" s="39" t="s">
        <v>431</v>
      </c>
      <c r="H135" s="39" t="s">
        <v>135</v>
      </c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1:26" ht="12.75" customHeight="1" x14ac:dyDescent="0.25">
      <c r="A136" s="38">
        <v>126</v>
      </c>
      <c r="B136" s="38" t="s">
        <v>432</v>
      </c>
      <c r="C136" s="38" t="s">
        <v>433</v>
      </c>
      <c r="D136" s="39" t="s">
        <v>434</v>
      </c>
      <c r="E136" s="39" t="s">
        <v>215</v>
      </c>
      <c r="F136" s="39" t="s">
        <v>435</v>
      </c>
      <c r="G136" s="39" t="s">
        <v>436</v>
      </c>
      <c r="H136" s="39" t="s">
        <v>135</v>
      </c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 ht="12.75" customHeight="1" x14ac:dyDescent="0.25">
      <c r="A137" s="38">
        <v>127</v>
      </c>
      <c r="B137" s="38" t="s">
        <v>432</v>
      </c>
      <c r="C137" s="38" t="s">
        <v>433</v>
      </c>
      <c r="D137" s="39" t="s">
        <v>437</v>
      </c>
      <c r="E137" s="39" t="s">
        <v>215</v>
      </c>
      <c r="F137" s="39" t="s">
        <v>435</v>
      </c>
      <c r="G137" s="39" t="s">
        <v>438</v>
      </c>
      <c r="H137" s="39" t="s">
        <v>135</v>
      </c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1:26" ht="12.75" customHeight="1" x14ac:dyDescent="0.25">
      <c r="A138" s="38">
        <v>128</v>
      </c>
      <c r="B138" s="38" t="s">
        <v>432</v>
      </c>
      <c r="C138" s="38" t="s">
        <v>433</v>
      </c>
      <c r="D138" s="39" t="s">
        <v>439</v>
      </c>
      <c r="E138" s="39" t="s">
        <v>215</v>
      </c>
      <c r="F138" s="39" t="s">
        <v>435</v>
      </c>
      <c r="G138" s="39" t="s">
        <v>440</v>
      </c>
      <c r="H138" s="39" t="s">
        <v>135</v>
      </c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1:26" ht="12.75" customHeight="1" x14ac:dyDescent="0.25">
      <c r="A139" s="38">
        <v>129</v>
      </c>
      <c r="B139" s="38" t="s">
        <v>432</v>
      </c>
      <c r="C139" s="38" t="s">
        <v>433</v>
      </c>
      <c r="D139" s="39" t="s">
        <v>441</v>
      </c>
      <c r="E139" s="39" t="s">
        <v>215</v>
      </c>
      <c r="F139" s="39" t="s">
        <v>435</v>
      </c>
      <c r="G139" s="39" t="s">
        <v>442</v>
      </c>
      <c r="H139" s="39" t="s">
        <v>135</v>
      </c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1:26" ht="12.75" customHeight="1" x14ac:dyDescent="0.25">
      <c r="A140" s="38">
        <v>130</v>
      </c>
      <c r="B140" s="38" t="s">
        <v>432</v>
      </c>
      <c r="C140" s="38" t="s">
        <v>433</v>
      </c>
      <c r="D140" s="39" t="s">
        <v>443</v>
      </c>
      <c r="E140" s="39" t="s">
        <v>215</v>
      </c>
      <c r="F140" s="39" t="s">
        <v>435</v>
      </c>
      <c r="G140" s="39" t="s">
        <v>444</v>
      </c>
      <c r="H140" s="39" t="s">
        <v>135</v>
      </c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1:26" ht="12.75" customHeight="1" x14ac:dyDescent="0.25">
      <c r="A141" s="38">
        <v>131</v>
      </c>
      <c r="B141" s="38" t="s">
        <v>314</v>
      </c>
      <c r="C141" s="38" t="s">
        <v>315</v>
      </c>
      <c r="D141" s="39" t="s">
        <v>445</v>
      </c>
      <c r="E141" s="39" t="s">
        <v>193</v>
      </c>
      <c r="F141" s="39" t="s">
        <v>446</v>
      </c>
      <c r="G141" s="39" t="s">
        <v>447</v>
      </c>
      <c r="H141" s="39" t="s">
        <v>135</v>
      </c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1:26" ht="12.75" customHeight="1" x14ac:dyDescent="0.25">
      <c r="A142" s="38">
        <v>132</v>
      </c>
      <c r="B142" s="38" t="s">
        <v>314</v>
      </c>
      <c r="C142" s="38" t="s">
        <v>315</v>
      </c>
      <c r="D142" s="39" t="s">
        <v>448</v>
      </c>
      <c r="E142" s="39" t="s">
        <v>193</v>
      </c>
      <c r="F142" s="39" t="s">
        <v>446</v>
      </c>
      <c r="G142" s="39" t="s">
        <v>449</v>
      </c>
      <c r="H142" s="39" t="s">
        <v>135</v>
      </c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1:26" ht="12.75" customHeight="1" x14ac:dyDescent="0.25">
      <c r="A143" s="38">
        <v>133</v>
      </c>
      <c r="B143" s="38" t="s">
        <v>314</v>
      </c>
      <c r="C143" s="38" t="s">
        <v>315</v>
      </c>
      <c r="D143" s="39" t="s">
        <v>450</v>
      </c>
      <c r="E143" s="39" t="s">
        <v>193</v>
      </c>
      <c r="F143" s="39" t="s">
        <v>446</v>
      </c>
      <c r="G143" s="39" t="s">
        <v>451</v>
      </c>
      <c r="H143" s="39" t="s">
        <v>135</v>
      </c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1:26" ht="12.75" customHeight="1" x14ac:dyDescent="0.25">
      <c r="A144" s="38">
        <v>134</v>
      </c>
      <c r="B144" s="38" t="s">
        <v>452</v>
      </c>
      <c r="C144" s="38" t="s">
        <v>453</v>
      </c>
      <c r="D144" s="39" t="s">
        <v>454</v>
      </c>
      <c r="E144" s="39" t="s">
        <v>225</v>
      </c>
      <c r="F144" s="39" t="s">
        <v>455</v>
      </c>
      <c r="G144" s="39" t="s">
        <v>456</v>
      </c>
      <c r="H144" s="39" t="s">
        <v>135</v>
      </c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 ht="12.75" customHeight="1" x14ac:dyDescent="0.25">
      <c r="A145" s="38">
        <v>135</v>
      </c>
      <c r="B145" s="38" t="s">
        <v>452</v>
      </c>
      <c r="C145" s="38" t="s">
        <v>453</v>
      </c>
      <c r="D145" s="39" t="s">
        <v>457</v>
      </c>
      <c r="E145" s="39" t="s">
        <v>225</v>
      </c>
      <c r="F145" s="39" t="s">
        <v>455</v>
      </c>
      <c r="G145" s="39" t="s">
        <v>458</v>
      </c>
      <c r="H145" s="39" t="s">
        <v>135</v>
      </c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1:26" ht="12.75" customHeight="1" x14ac:dyDescent="0.25">
      <c r="A146" s="38">
        <v>136</v>
      </c>
      <c r="B146" s="38" t="s">
        <v>452</v>
      </c>
      <c r="C146" s="38" t="s">
        <v>453</v>
      </c>
      <c r="D146" s="39" t="s">
        <v>459</v>
      </c>
      <c r="E146" s="39" t="s">
        <v>225</v>
      </c>
      <c r="F146" s="39" t="s">
        <v>455</v>
      </c>
      <c r="G146" s="39" t="s">
        <v>460</v>
      </c>
      <c r="H146" s="39" t="s">
        <v>135</v>
      </c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1:26" ht="12.75" customHeight="1" x14ac:dyDescent="0.25">
      <c r="A147" s="38">
        <v>137</v>
      </c>
      <c r="B147" s="38" t="s">
        <v>452</v>
      </c>
      <c r="C147" s="38" t="s">
        <v>453</v>
      </c>
      <c r="D147" s="39" t="s">
        <v>461</v>
      </c>
      <c r="E147" s="39" t="s">
        <v>225</v>
      </c>
      <c r="F147" s="39" t="s">
        <v>455</v>
      </c>
      <c r="G147" s="39" t="s">
        <v>462</v>
      </c>
      <c r="H147" s="39" t="s">
        <v>135</v>
      </c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1:26" ht="12.75" customHeight="1" x14ac:dyDescent="0.25">
      <c r="A148" s="38">
        <v>138</v>
      </c>
      <c r="B148" s="38" t="s">
        <v>452</v>
      </c>
      <c r="C148" s="38" t="s">
        <v>453</v>
      </c>
      <c r="D148" s="39" t="s">
        <v>463</v>
      </c>
      <c r="E148" s="39" t="s">
        <v>225</v>
      </c>
      <c r="F148" s="39" t="s">
        <v>455</v>
      </c>
      <c r="G148" s="39" t="s">
        <v>464</v>
      </c>
      <c r="H148" s="39" t="s">
        <v>135</v>
      </c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1:26" ht="12.75" customHeight="1" x14ac:dyDescent="0.25">
      <c r="A149" s="38">
        <v>139</v>
      </c>
      <c r="B149" s="38" t="s">
        <v>465</v>
      </c>
      <c r="C149" s="38" t="s">
        <v>466</v>
      </c>
      <c r="D149" s="39" t="s">
        <v>467</v>
      </c>
      <c r="E149" s="39" t="s">
        <v>175</v>
      </c>
      <c r="F149" s="39" t="s">
        <v>468</v>
      </c>
      <c r="G149" s="39" t="s">
        <v>469</v>
      </c>
      <c r="H149" s="39" t="s">
        <v>135</v>
      </c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1:26" ht="12.75" customHeight="1" x14ac:dyDescent="0.25">
      <c r="A150" s="38">
        <v>140</v>
      </c>
      <c r="B150" s="38" t="s">
        <v>465</v>
      </c>
      <c r="C150" s="38" t="s">
        <v>466</v>
      </c>
      <c r="D150" s="39" t="s">
        <v>470</v>
      </c>
      <c r="E150" s="39" t="s">
        <v>175</v>
      </c>
      <c r="F150" s="39" t="s">
        <v>468</v>
      </c>
      <c r="G150" s="39" t="s">
        <v>471</v>
      </c>
      <c r="H150" s="39" t="s">
        <v>135</v>
      </c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1:26" ht="12.75" customHeight="1" x14ac:dyDescent="0.25">
      <c r="A151" s="38">
        <v>141</v>
      </c>
      <c r="B151" s="38" t="s">
        <v>465</v>
      </c>
      <c r="C151" s="38" t="s">
        <v>466</v>
      </c>
      <c r="D151" s="39" t="s">
        <v>472</v>
      </c>
      <c r="E151" s="39" t="s">
        <v>175</v>
      </c>
      <c r="F151" s="39" t="s">
        <v>468</v>
      </c>
      <c r="G151" s="39" t="s">
        <v>473</v>
      </c>
      <c r="H151" s="39" t="s">
        <v>135</v>
      </c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1:26" ht="12.75" customHeight="1" x14ac:dyDescent="0.25">
      <c r="A152" s="38">
        <v>142</v>
      </c>
      <c r="B152" s="38" t="s">
        <v>474</v>
      </c>
      <c r="C152" s="38" t="s">
        <v>475</v>
      </c>
      <c r="D152" s="39" t="s">
        <v>476</v>
      </c>
      <c r="E152" s="39" t="s">
        <v>243</v>
      </c>
      <c r="F152" s="39" t="s">
        <v>477</v>
      </c>
      <c r="G152" s="39" t="s">
        <v>478</v>
      </c>
      <c r="H152" s="39" t="s">
        <v>135</v>
      </c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1:26" ht="12.75" customHeight="1" x14ac:dyDescent="0.25">
      <c r="A153" s="38">
        <v>143</v>
      </c>
      <c r="B153" s="38" t="s">
        <v>474</v>
      </c>
      <c r="C153" s="38" t="s">
        <v>475</v>
      </c>
      <c r="D153" s="39" t="s">
        <v>479</v>
      </c>
      <c r="E153" s="39" t="s">
        <v>243</v>
      </c>
      <c r="F153" s="39" t="s">
        <v>477</v>
      </c>
      <c r="G153" s="39" t="s">
        <v>480</v>
      </c>
      <c r="H153" s="39" t="s">
        <v>135</v>
      </c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1:26" ht="12.75" customHeight="1" x14ac:dyDescent="0.25">
      <c r="A154" s="38">
        <v>144</v>
      </c>
      <c r="B154" s="38" t="s">
        <v>481</v>
      </c>
      <c r="C154" s="38" t="s">
        <v>482</v>
      </c>
      <c r="D154" s="39" t="s">
        <v>483</v>
      </c>
      <c r="E154" s="39" t="s">
        <v>278</v>
      </c>
      <c r="F154" s="39" t="s">
        <v>484</v>
      </c>
      <c r="G154" s="39" t="s">
        <v>485</v>
      </c>
      <c r="H154" s="39" t="s">
        <v>135</v>
      </c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1:26" ht="12.75" customHeight="1" x14ac:dyDescent="0.25">
      <c r="A155" s="38">
        <v>145</v>
      </c>
      <c r="B155" s="38" t="s">
        <v>481</v>
      </c>
      <c r="C155" s="38" t="s">
        <v>482</v>
      </c>
      <c r="D155" s="39" t="s">
        <v>486</v>
      </c>
      <c r="E155" s="39" t="s">
        <v>278</v>
      </c>
      <c r="F155" s="39" t="s">
        <v>484</v>
      </c>
      <c r="G155" s="39" t="s">
        <v>487</v>
      </c>
      <c r="H155" s="39" t="s">
        <v>135</v>
      </c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1:26" ht="12.75" customHeight="1" x14ac:dyDescent="0.25">
      <c r="A156" s="38">
        <v>146</v>
      </c>
      <c r="B156" s="38" t="s">
        <v>481</v>
      </c>
      <c r="C156" s="38" t="s">
        <v>482</v>
      </c>
      <c r="D156" s="39" t="s">
        <v>488</v>
      </c>
      <c r="E156" s="39" t="s">
        <v>278</v>
      </c>
      <c r="F156" s="39" t="s">
        <v>484</v>
      </c>
      <c r="G156" s="39" t="s">
        <v>489</v>
      </c>
      <c r="H156" s="39" t="s">
        <v>135</v>
      </c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1:26" ht="12.75" customHeight="1" x14ac:dyDescent="0.25">
      <c r="A157" s="38">
        <v>147</v>
      </c>
      <c r="B157" s="38" t="s">
        <v>481</v>
      </c>
      <c r="C157" s="38" t="s">
        <v>482</v>
      </c>
      <c r="D157" s="39" t="s">
        <v>490</v>
      </c>
      <c r="E157" s="39" t="s">
        <v>278</v>
      </c>
      <c r="F157" s="39" t="s">
        <v>484</v>
      </c>
      <c r="G157" s="39" t="s">
        <v>491</v>
      </c>
      <c r="H157" s="39" t="s">
        <v>135</v>
      </c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1:26" ht="12.75" customHeight="1" x14ac:dyDescent="0.25">
      <c r="A158" s="38">
        <v>148</v>
      </c>
      <c r="B158" s="38" t="s">
        <v>481</v>
      </c>
      <c r="C158" s="38" t="s">
        <v>482</v>
      </c>
      <c r="D158" s="39" t="s">
        <v>492</v>
      </c>
      <c r="E158" s="39" t="s">
        <v>278</v>
      </c>
      <c r="F158" s="39" t="s">
        <v>484</v>
      </c>
      <c r="G158" s="39" t="s">
        <v>493</v>
      </c>
      <c r="H158" s="39" t="s">
        <v>135</v>
      </c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1:26" ht="12.75" customHeight="1" x14ac:dyDescent="0.25">
      <c r="A159" s="38">
        <v>149</v>
      </c>
      <c r="B159" s="38" t="s">
        <v>481</v>
      </c>
      <c r="C159" s="38" t="s">
        <v>482</v>
      </c>
      <c r="D159" s="39" t="s">
        <v>494</v>
      </c>
      <c r="E159" s="39" t="s">
        <v>278</v>
      </c>
      <c r="F159" s="39" t="s">
        <v>484</v>
      </c>
      <c r="G159" s="39" t="s">
        <v>495</v>
      </c>
      <c r="H159" s="39" t="s">
        <v>135</v>
      </c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1:26" ht="12.75" customHeight="1" x14ac:dyDescent="0.25">
      <c r="A160" s="38">
        <v>150</v>
      </c>
      <c r="B160" s="38" t="s">
        <v>496</v>
      </c>
      <c r="C160" s="38" t="s">
        <v>497</v>
      </c>
      <c r="D160" s="39" t="s">
        <v>498</v>
      </c>
      <c r="E160" s="39" t="s">
        <v>161</v>
      </c>
      <c r="F160" s="39" t="s">
        <v>499</v>
      </c>
      <c r="G160" s="39" t="s">
        <v>498</v>
      </c>
      <c r="H160" s="39" t="s">
        <v>500</v>
      </c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1:26" ht="12.75" customHeight="1" x14ac:dyDescent="0.25">
      <c r="A161" s="38">
        <v>151</v>
      </c>
      <c r="B161" s="38" t="s">
        <v>496</v>
      </c>
      <c r="C161" s="38" t="s">
        <v>497</v>
      </c>
      <c r="D161" s="39" t="s">
        <v>501</v>
      </c>
      <c r="E161" s="39" t="s">
        <v>161</v>
      </c>
      <c r="F161" s="39" t="s">
        <v>499</v>
      </c>
      <c r="G161" s="39" t="s">
        <v>501</v>
      </c>
      <c r="H161" s="39" t="s">
        <v>500</v>
      </c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1:26" ht="12.75" customHeight="1" x14ac:dyDescent="0.25">
      <c r="A162" s="38">
        <v>152</v>
      </c>
      <c r="B162" s="38" t="s">
        <v>496</v>
      </c>
      <c r="C162" s="38" t="s">
        <v>497</v>
      </c>
      <c r="D162" s="39" t="s">
        <v>502</v>
      </c>
      <c r="E162" s="39" t="s">
        <v>161</v>
      </c>
      <c r="F162" s="39" t="s">
        <v>499</v>
      </c>
      <c r="G162" s="39" t="s">
        <v>502</v>
      </c>
      <c r="H162" s="39" t="s">
        <v>500</v>
      </c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1:26" ht="12.75" customHeight="1" x14ac:dyDescent="0.25">
      <c r="A163" s="38">
        <v>153</v>
      </c>
      <c r="B163" s="38" t="s">
        <v>496</v>
      </c>
      <c r="C163" s="38" t="s">
        <v>497</v>
      </c>
      <c r="D163" s="39" t="s">
        <v>503</v>
      </c>
      <c r="E163" s="39" t="s">
        <v>161</v>
      </c>
      <c r="F163" s="39" t="s">
        <v>499</v>
      </c>
      <c r="G163" s="39" t="s">
        <v>503</v>
      </c>
      <c r="H163" s="39" t="s">
        <v>500</v>
      </c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1:26" ht="12.75" customHeight="1" x14ac:dyDescent="0.25">
      <c r="A164" s="38">
        <v>154</v>
      </c>
      <c r="B164" s="38" t="s">
        <v>504</v>
      </c>
      <c r="C164" s="38" t="s">
        <v>505</v>
      </c>
      <c r="D164" s="39" t="s">
        <v>506</v>
      </c>
      <c r="E164" s="39" t="s">
        <v>193</v>
      </c>
      <c r="F164" s="39" t="s">
        <v>507</v>
      </c>
      <c r="G164" s="39" t="s">
        <v>506</v>
      </c>
      <c r="H164" s="39" t="s">
        <v>500</v>
      </c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1:26" ht="12.75" customHeight="1" x14ac:dyDescent="0.25">
      <c r="A165" s="38">
        <v>155</v>
      </c>
      <c r="B165" s="38" t="s">
        <v>508</v>
      </c>
      <c r="C165" s="38" t="s">
        <v>509</v>
      </c>
      <c r="D165" s="39" t="s">
        <v>510</v>
      </c>
      <c r="E165" s="39" t="s">
        <v>243</v>
      </c>
      <c r="F165" s="39" t="s">
        <v>511</v>
      </c>
      <c r="G165" s="39" t="s">
        <v>510</v>
      </c>
      <c r="H165" s="39" t="s">
        <v>500</v>
      </c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1:26" ht="12.75" customHeight="1" x14ac:dyDescent="0.25">
      <c r="A166" s="38">
        <v>156</v>
      </c>
      <c r="B166" s="38" t="s">
        <v>512</v>
      </c>
      <c r="C166" s="38" t="s">
        <v>513</v>
      </c>
      <c r="D166" s="39" t="s">
        <v>514</v>
      </c>
      <c r="E166" s="39" t="s">
        <v>225</v>
      </c>
      <c r="F166" s="39" t="s">
        <v>515</v>
      </c>
      <c r="G166" s="39" t="s">
        <v>514</v>
      </c>
      <c r="H166" s="39" t="s">
        <v>500</v>
      </c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1:26" ht="12.75" customHeight="1" x14ac:dyDescent="0.25">
      <c r="A167" s="38">
        <v>157</v>
      </c>
      <c r="B167" s="38" t="s">
        <v>512</v>
      </c>
      <c r="C167" s="38" t="s">
        <v>513</v>
      </c>
      <c r="D167" s="39" t="s">
        <v>516</v>
      </c>
      <c r="E167" s="39" t="s">
        <v>225</v>
      </c>
      <c r="F167" s="39" t="s">
        <v>515</v>
      </c>
      <c r="G167" s="39" t="s">
        <v>516</v>
      </c>
      <c r="H167" s="39" t="s">
        <v>500</v>
      </c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1:26" ht="12.75" customHeight="1" x14ac:dyDescent="0.25">
      <c r="A168" s="38">
        <v>158</v>
      </c>
      <c r="B168" s="38" t="s">
        <v>512</v>
      </c>
      <c r="C168" s="38" t="s">
        <v>513</v>
      </c>
      <c r="D168" s="39" t="s">
        <v>517</v>
      </c>
      <c r="E168" s="39" t="s">
        <v>225</v>
      </c>
      <c r="F168" s="39" t="s">
        <v>515</v>
      </c>
      <c r="G168" s="39" t="s">
        <v>517</v>
      </c>
      <c r="H168" s="39" t="s">
        <v>500</v>
      </c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1:26" ht="12.75" customHeight="1" x14ac:dyDescent="0.25">
      <c r="A169" s="38">
        <v>159</v>
      </c>
      <c r="B169" s="38" t="s">
        <v>518</v>
      </c>
      <c r="C169" s="38" t="s">
        <v>519</v>
      </c>
      <c r="D169" s="39" t="s">
        <v>520</v>
      </c>
      <c r="E169" s="39" t="s">
        <v>278</v>
      </c>
      <c r="F169" s="39" t="s">
        <v>521</v>
      </c>
      <c r="G169" s="39" t="s">
        <v>520</v>
      </c>
      <c r="H169" s="39" t="s">
        <v>500</v>
      </c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1:26" ht="12.75" customHeight="1" x14ac:dyDescent="0.25">
      <c r="A170" s="38">
        <v>160</v>
      </c>
      <c r="B170" s="38" t="s">
        <v>518</v>
      </c>
      <c r="C170" s="38" t="s">
        <v>519</v>
      </c>
      <c r="D170" s="39" t="s">
        <v>522</v>
      </c>
      <c r="E170" s="39" t="s">
        <v>278</v>
      </c>
      <c r="F170" s="39" t="s">
        <v>521</v>
      </c>
      <c r="G170" s="39" t="s">
        <v>522</v>
      </c>
      <c r="H170" s="39" t="s">
        <v>500</v>
      </c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1:26" ht="12.75" customHeight="1" x14ac:dyDescent="0.25">
      <c r="A171" s="38">
        <v>161</v>
      </c>
      <c r="B171" s="38" t="s">
        <v>518</v>
      </c>
      <c r="C171" s="38" t="s">
        <v>519</v>
      </c>
      <c r="D171" s="39" t="s">
        <v>523</v>
      </c>
      <c r="E171" s="39" t="s">
        <v>278</v>
      </c>
      <c r="F171" s="39" t="s">
        <v>521</v>
      </c>
      <c r="G171" s="39" t="s">
        <v>523</v>
      </c>
      <c r="H171" s="39" t="s">
        <v>500</v>
      </c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1:26" ht="12.75" customHeight="1" x14ac:dyDescent="0.25">
      <c r="A172" s="38">
        <v>162</v>
      </c>
      <c r="B172" s="38" t="s">
        <v>524</v>
      </c>
      <c r="C172" s="38" t="s">
        <v>525</v>
      </c>
      <c r="D172" s="39" t="s">
        <v>526</v>
      </c>
      <c r="E172" s="39" t="s">
        <v>132</v>
      </c>
      <c r="F172" s="39" t="s">
        <v>527</v>
      </c>
      <c r="G172" s="39" t="s">
        <v>526</v>
      </c>
      <c r="H172" s="39" t="s">
        <v>500</v>
      </c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1:26" ht="12.75" customHeight="1" x14ac:dyDescent="0.25">
      <c r="A173" s="38">
        <v>163</v>
      </c>
      <c r="B173" s="38" t="s">
        <v>524</v>
      </c>
      <c r="C173" s="38" t="s">
        <v>525</v>
      </c>
      <c r="D173" s="39" t="s">
        <v>528</v>
      </c>
      <c r="E173" s="39" t="s">
        <v>132</v>
      </c>
      <c r="F173" s="39" t="s">
        <v>527</v>
      </c>
      <c r="G173" s="39" t="s">
        <v>528</v>
      </c>
      <c r="H173" s="39" t="s">
        <v>500</v>
      </c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1:26" ht="12.75" customHeight="1" x14ac:dyDescent="0.25">
      <c r="A174" s="38">
        <v>164</v>
      </c>
      <c r="B174" s="38" t="s">
        <v>524</v>
      </c>
      <c r="C174" s="38" t="s">
        <v>525</v>
      </c>
      <c r="D174" s="39" t="s">
        <v>529</v>
      </c>
      <c r="E174" s="39" t="s">
        <v>132</v>
      </c>
      <c r="F174" s="39" t="s">
        <v>527</v>
      </c>
      <c r="G174" s="39" t="s">
        <v>529</v>
      </c>
      <c r="H174" s="39" t="s">
        <v>500</v>
      </c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1:26" ht="12.75" customHeight="1" x14ac:dyDescent="0.25">
      <c r="A175" s="38">
        <v>165</v>
      </c>
      <c r="B175" s="38" t="s">
        <v>530</v>
      </c>
      <c r="C175" s="38" t="s">
        <v>531</v>
      </c>
      <c r="D175" s="39" t="s">
        <v>532</v>
      </c>
      <c r="E175" s="39" t="s">
        <v>161</v>
      </c>
      <c r="F175" s="39" t="s">
        <v>533</v>
      </c>
      <c r="G175" s="39" t="s">
        <v>532</v>
      </c>
      <c r="H175" s="39" t="s">
        <v>500</v>
      </c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1:26" ht="12.75" customHeight="1" x14ac:dyDescent="0.25">
      <c r="A176" s="38">
        <v>166</v>
      </c>
      <c r="B176" s="38" t="s">
        <v>530</v>
      </c>
      <c r="C176" s="38" t="s">
        <v>531</v>
      </c>
      <c r="D176" s="39" t="s">
        <v>534</v>
      </c>
      <c r="E176" s="39" t="s">
        <v>161</v>
      </c>
      <c r="F176" s="39" t="s">
        <v>533</v>
      </c>
      <c r="G176" s="39" t="s">
        <v>534</v>
      </c>
      <c r="H176" s="39" t="s">
        <v>500</v>
      </c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1:26" ht="12.75" customHeight="1" x14ac:dyDescent="0.25">
      <c r="A177" s="38">
        <v>167</v>
      </c>
      <c r="B177" s="38" t="s">
        <v>530</v>
      </c>
      <c r="C177" s="38" t="s">
        <v>531</v>
      </c>
      <c r="D177" s="39" t="s">
        <v>535</v>
      </c>
      <c r="E177" s="39" t="s">
        <v>161</v>
      </c>
      <c r="F177" s="39" t="s">
        <v>533</v>
      </c>
      <c r="G177" s="39" t="s">
        <v>535</v>
      </c>
      <c r="H177" s="39" t="s">
        <v>500</v>
      </c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1:26" ht="12.75" customHeight="1" x14ac:dyDescent="0.25">
      <c r="A178" s="38">
        <v>168</v>
      </c>
      <c r="B178" s="38" t="s">
        <v>530</v>
      </c>
      <c r="C178" s="38" t="s">
        <v>531</v>
      </c>
      <c r="D178" s="39" t="s">
        <v>536</v>
      </c>
      <c r="E178" s="39" t="s">
        <v>161</v>
      </c>
      <c r="F178" s="39" t="s">
        <v>533</v>
      </c>
      <c r="G178" s="39" t="s">
        <v>536</v>
      </c>
      <c r="H178" s="39" t="s">
        <v>500</v>
      </c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1:26" ht="12.75" customHeight="1" x14ac:dyDescent="0.25">
      <c r="A179" s="38">
        <v>169</v>
      </c>
      <c r="B179" s="38" t="s">
        <v>530</v>
      </c>
      <c r="C179" s="38" t="s">
        <v>531</v>
      </c>
      <c r="D179" s="39" t="s">
        <v>537</v>
      </c>
      <c r="E179" s="39" t="s">
        <v>161</v>
      </c>
      <c r="F179" s="39" t="s">
        <v>533</v>
      </c>
      <c r="G179" s="39" t="s">
        <v>537</v>
      </c>
      <c r="H179" s="39" t="s">
        <v>500</v>
      </c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1:26" ht="12.75" customHeight="1" x14ac:dyDescent="0.25">
      <c r="A180" s="38">
        <v>170</v>
      </c>
      <c r="B180" s="38" t="s">
        <v>538</v>
      </c>
      <c r="C180" s="38" t="s">
        <v>539</v>
      </c>
      <c r="D180" s="39" t="s">
        <v>540</v>
      </c>
      <c r="E180" s="39" t="s">
        <v>215</v>
      </c>
      <c r="F180" s="39" t="s">
        <v>541</v>
      </c>
      <c r="G180" s="39" t="s">
        <v>540</v>
      </c>
      <c r="H180" s="39" t="s">
        <v>500</v>
      </c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1:26" ht="12.75" customHeight="1" x14ac:dyDescent="0.25">
      <c r="A181" s="38">
        <v>171</v>
      </c>
      <c r="B181" s="38" t="s">
        <v>538</v>
      </c>
      <c r="C181" s="38" t="s">
        <v>539</v>
      </c>
      <c r="D181" s="39" t="s">
        <v>542</v>
      </c>
      <c r="E181" s="39" t="s">
        <v>215</v>
      </c>
      <c r="F181" s="39" t="s">
        <v>541</v>
      </c>
      <c r="G181" s="39" t="s">
        <v>542</v>
      </c>
      <c r="H181" s="39" t="s">
        <v>500</v>
      </c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1:26" ht="12.75" customHeight="1" x14ac:dyDescent="0.25">
      <c r="A182" s="38">
        <v>172</v>
      </c>
      <c r="B182" s="38" t="s">
        <v>543</v>
      </c>
      <c r="C182" s="38" t="s">
        <v>544</v>
      </c>
      <c r="D182" s="39" t="s">
        <v>545</v>
      </c>
      <c r="E182" s="39" t="s">
        <v>225</v>
      </c>
      <c r="F182" s="39" t="s">
        <v>546</v>
      </c>
      <c r="G182" s="39" t="s">
        <v>545</v>
      </c>
      <c r="H182" s="39" t="s">
        <v>500</v>
      </c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1:26" ht="12.75" customHeight="1" x14ac:dyDescent="0.25">
      <c r="A183" s="38"/>
      <c r="B183" s="38"/>
      <c r="C183" s="38"/>
      <c r="D183" s="39"/>
      <c r="E183" s="39"/>
      <c r="F183" s="39"/>
      <c r="G183" s="39"/>
      <c r="H183" s="39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1:26" ht="12.75" customHeight="1" x14ac:dyDescent="0.25">
      <c r="A184" s="38"/>
      <c r="B184" s="38"/>
      <c r="C184" s="38"/>
      <c r="D184" s="39"/>
      <c r="E184" s="39"/>
      <c r="F184" s="39"/>
      <c r="G184" s="39"/>
      <c r="H184" s="39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1:26" ht="12.75" customHeight="1" x14ac:dyDescent="0.25">
      <c r="A185" s="38"/>
      <c r="B185" s="38"/>
      <c r="C185" s="38"/>
      <c r="D185" s="39"/>
      <c r="E185" s="39"/>
      <c r="F185" s="39"/>
      <c r="G185" s="39"/>
      <c r="H185" s="39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1:26" ht="12.75" customHeight="1" x14ac:dyDescent="0.25">
      <c r="A186" s="38"/>
      <c r="B186" s="38"/>
      <c r="C186" s="38"/>
      <c r="D186" s="39"/>
      <c r="E186" s="39"/>
      <c r="F186" s="39"/>
      <c r="G186" s="39"/>
      <c r="H186" s="39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1:26" ht="12.75" customHeight="1" x14ac:dyDescent="0.25">
      <c r="A187" s="38"/>
      <c r="B187" s="38"/>
      <c r="C187" s="38"/>
      <c r="D187" s="39"/>
      <c r="E187" s="39"/>
      <c r="F187" s="39"/>
      <c r="G187" s="39"/>
      <c r="H187" s="39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1:26" ht="12.75" customHeight="1" x14ac:dyDescent="0.25">
      <c r="A188" s="38"/>
      <c r="B188" s="38"/>
      <c r="C188" s="38"/>
      <c r="D188" s="39"/>
      <c r="E188" s="39"/>
      <c r="F188" s="39"/>
      <c r="G188" s="39"/>
      <c r="H188" s="39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1:26" ht="12.75" customHeight="1" x14ac:dyDescent="0.25">
      <c r="A189" s="38"/>
      <c r="B189" s="38"/>
      <c r="C189" s="38"/>
      <c r="D189" s="39"/>
      <c r="E189" s="39"/>
      <c r="F189" s="39"/>
      <c r="G189" s="39"/>
      <c r="H189" s="39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1:26" ht="12.75" customHeight="1" x14ac:dyDescent="0.25">
      <c r="A190" s="38"/>
      <c r="B190" s="38"/>
      <c r="C190" s="38"/>
      <c r="D190" s="39"/>
      <c r="E190" s="39"/>
      <c r="F190" s="39"/>
      <c r="G190" s="39"/>
      <c r="H190" s="39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1:26" ht="12.75" customHeight="1" x14ac:dyDescent="0.25">
      <c r="A191" s="38"/>
      <c r="B191" s="38"/>
      <c r="C191" s="38"/>
      <c r="D191" s="39"/>
      <c r="E191" s="39"/>
      <c r="F191" s="39"/>
      <c r="G191" s="39"/>
      <c r="H191" s="39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1:26" ht="12.75" customHeight="1" x14ac:dyDescent="0.25">
      <c r="A192" s="38"/>
      <c r="B192" s="38"/>
      <c r="C192" s="38"/>
      <c r="D192" s="39"/>
      <c r="E192" s="39"/>
      <c r="F192" s="39"/>
      <c r="G192" s="39"/>
      <c r="H192" s="39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1:26" ht="12.75" customHeight="1" x14ac:dyDescent="0.25">
      <c r="A193" s="38"/>
      <c r="B193" s="38"/>
      <c r="C193" s="38"/>
      <c r="D193" s="39"/>
      <c r="E193" s="39"/>
      <c r="F193" s="39"/>
      <c r="G193" s="39"/>
      <c r="H193" s="39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1:26" ht="12.75" customHeight="1" x14ac:dyDescent="0.25">
      <c r="A194" s="38"/>
      <c r="B194" s="38"/>
      <c r="C194" s="38"/>
      <c r="D194" s="39"/>
      <c r="E194" s="39"/>
      <c r="F194" s="39"/>
      <c r="G194" s="39"/>
      <c r="H194" s="39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1:26" ht="12.75" customHeight="1" x14ac:dyDescent="0.25">
      <c r="A195" s="38"/>
      <c r="B195" s="38"/>
      <c r="C195" s="38"/>
      <c r="D195" s="39"/>
      <c r="E195" s="39"/>
      <c r="F195" s="39"/>
      <c r="G195" s="39"/>
      <c r="H195" s="39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1:26" ht="12.75" customHeight="1" x14ac:dyDescent="0.25">
      <c r="A196" s="38"/>
      <c r="B196" s="38"/>
      <c r="C196" s="38"/>
      <c r="D196" s="39"/>
      <c r="E196" s="39"/>
      <c r="F196" s="39"/>
      <c r="G196" s="39"/>
      <c r="H196" s="39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1:26" ht="12.75" customHeight="1" x14ac:dyDescent="0.25">
      <c r="A197" s="38"/>
      <c r="B197" s="38"/>
      <c r="C197" s="38"/>
      <c r="D197" s="39"/>
      <c r="E197" s="39"/>
      <c r="F197" s="39"/>
      <c r="G197" s="39"/>
      <c r="H197" s="39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1:26" ht="12.75" customHeight="1" x14ac:dyDescent="0.25">
      <c r="A198" s="38"/>
      <c r="B198" s="38"/>
      <c r="C198" s="38"/>
      <c r="D198" s="39"/>
      <c r="E198" s="39"/>
      <c r="F198" s="39"/>
      <c r="G198" s="39"/>
      <c r="H198" s="39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1:26" ht="12.75" customHeight="1" x14ac:dyDescent="0.25">
      <c r="A199" s="38"/>
      <c r="B199" s="38"/>
      <c r="C199" s="38"/>
      <c r="D199" s="39"/>
      <c r="E199" s="39"/>
      <c r="F199" s="39"/>
      <c r="G199" s="39"/>
      <c r="H199" s="39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1:26" ht="12.75" customHeight="1" x14ac:dyDescent="0.25">
      <c r="A200" s="38"/>
      <c r="B200" s="38"/>
      <c r="C200" s="38"/>
      <c r="D200" s="39"/>
      <c r="E200" s="39"/>
      <c r="F200" s="39"/>
      <c r="G200" s="39"/>
      <c r="H200" s="39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spans="1:26" ht="12.75" customHeight="1" x14ac:dyDescent="0.25">
      <c r="A201" s="38"/>
      <c r="B201" s="38"/>
      <c r="C201" s="38"/>
      <c r="D201" s="39"/>
      <c r="E201" s="39"/>
      <c r="F201" s="39"/>
      <c r="G201" s="39"/>
      <c r="H201" s="39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spans="1:26" ht="12.75" customHeight="1" x14ac:dyDescent="0.25">
      <c r="A202" s="38"/>
      <c r="B202" s="38"/>
      <c r="C202" s="38"/>
      <c r="D202" s="39"/>
      <c r="E202" s="39"/>
      <c r="F202" s="39"/>
      <c r="G202" s="39"/>
      <c r="H202" s="39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spans="1:26" ht="12.75" customHeight="1" x14ac:dyDescent="0.25">
      <c r="A203" s="38"/>
      <c r="B203" s="38"/>
      <c r="C203" s="38"/>
      <c r="D203" s="39"/>
      <c r="E203" s="39"/>
      <c r="F203" s="39"/>
      <c r="G203" s="39"/>
      <c r="H203" s="39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spans="1:26" ht="12.75" customHeight="1" x14ac:dyDescent="0.25">
      <c r="A204" s="38"/>
      <c r="B204" s="38"/>
      <c r="C204" s="38"/>
      <c r="D204" s="39"/>
      <c r="E204" s="39"/>
      <c r="F204" s="39"/>
      <c r="G204" s="39"/>
      <c r="H204" s="39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spans="1:26" ht="12.75" customHeight="1" x14ac:dyDescent="0.25">
      <c r="A205" s="38"/>
      <c r="B205" s="38"/>
      <c r="C205" s="38"/>
      <c r="D205" s="39"/>
      <c r="E205" s="39"/>
      <c r="F205" s="39"/>
      <c r="G205" s="39"/>
      <c r="H205" s="39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spans="1:26" ht="12.75" customHeight="1" x14ac:dyDescent="0.25">
      <c r="A206" s="38"/>
      <c r="B206" s="38"/>
      <c r="C206" s="38"/>
      <c r="D206" s="39"/>
      <c r="E206" s="39"/>
      <c r="F206" s="39"/>
      <c r="G206" s="39"/>
      <c r="H206" s="39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spans="1:26" ht="12.75" customHeight="1" x14ac:dyDescent="0.25">
      <c r="A207" s="38"/>
      <c r="B207" s="38"/>
      <c r="C207" s="38"/>
      <c r="D207" s="39"/>
      <c r="E207" s="39"/>
      <c r="F207" s="39"/>
      <c r="G207" s="39"/>
      <c r="H207" s="39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spans="1:26" ht="12.75" customHeight="1" x14ac:dyDescent="0.25">
      <c r="A208" s="38"/>
      <c r="B208" s="38"/>
      <c r="C208" s="38"/>
      <c r="D208" s="39"/>
      <c r="E208" s="39"/>
      <c r="F208" s="39"/>
      <c r="G208" s="39"/>
      <c r="H208" s="39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spans="1:26" ht="12.75" customHeight="1" x14ac:dyDescent="0.25">
      <c r="A209" s="38"/>
      <c r="B209" s="38"/>
      <c r="C209" s="38"/>
      <c r="D209" s="39"/>
      <c r="E209" s="39"/>
      <c r="F209" s="39"/>
      <c r="G209" s="39"/>
      <c r="H209" s="39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spans="1:26" ht="12.75" customHeight="1" x14ac:dyDescent="0.25">
      <c r="A210" s="38"/>
      <c r="B210" s="38"/>
      <c r="C210" s="38"/>
      <c r="D210" s="39"/>
      <c r="E210" s="39"/>
      <c r="F210" s="39"/>
      <c r="G210" s="39"/>
      <c r="H210" s="39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spans="1:26" ht="12.75" customHeight="1" x14ac:dyDescent="0.25">
      <c r="A211" s="38"/>
      <c r="B211" s="38"/>
      <c r="C211" s="38"/>
      <c r="D211" s="39"/>
      <c r="E211" s="39"/>
      <c r="F211" s="39"/>
      <c r="G211" s="39"/>
      <c r="H211" s="39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spans="1:26" ht="12.75" customHeight="1" x14ac:dyDescent="0.25">
      <c r="A212" s="38"/>
      <c r="B212" s="38"/>
      <c r="C212" s="38"/>
      <c r="D212" s="39"/>
      <c r="E212" s="39"/>
      <c r="F212" s="39"/>
      <c r="G212" s="39"/>
      <c r="H212" s="39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spans="1:26" ht="12.75" customHeight="1" x14ac:dyDescent="0.25">
      <c r="A213" s="38"/>
      <c r="B213" s="38"/>
      <c r="C213" s="38"/>
      <c r="D213" s="39"/>
      <c r="E213" s="39"/>
      <c r="F213" s="39"/>
      <c r="G213" s="39"/>
      <c r="H213" s="39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spans="1:26" ht="12.75" customHeight="1" x14ac:dyDescent="0.25">
      <c r="A214" s="38"/>
      <c r="B214" s="38"/>
      <c r="C214" s="38"/>
      <c r="D214" s="39"/>
      <c r="E214" s="39"/>
      <c r="F214" s="39"/>
      <c r="G214" s="39"/>
      <c r="H214" s="39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spans="1:26" ht="12.75" customHeight="1" x14ac:dyDescent="0.25">
      <c r="A215" s="38"/>
      <c r="B215" s="38"/>
      <c r="C215" s="38"/>
      <c r="D215" s="39"/>
      <c r="E215" s="39"/>
      <c r="F215" s="39"/>
      <c r="G215" s="39"/>
      <c r="H215" s="39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spans="1:26" ht="12.75" customHeight="1" x14ac:dyDescent="0.25">
      <c r="A216" s="38"/>
      <c r="B216" s="38"/>
      <c r="C216" s="38"/>
      <c r="D216" s="39"/>
      <c r="E216" s="39"/>
      <c r="F216" s="39"/>
      <c r="G216" s="39"/>
      <c r="H216" s="39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spans="1:26" ht="12.75" customHeight="1" x14ac:dyDescent="0.25">
      <c r="A217" s="38"/>
      <c r="B217" s="38"/>
      <c r="C217" s="38"/>
      <c r="D217" s="39"/>
      <c r="E217" s="39"/>
      <c r="F217" s="39"/>
      <c r="G217" s="39"/>
      <c r="H217" s="39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spans="1:26" ht="12.75" customHeight="1" x14ac:dyDescent="0.25">
      <c r="A218" s="38"/>
      <c r="B218" s="38"/>
      <c r="C218" s="38"/>
      <c r="D218" s="39"/>
      <c r="E218" s="39"/>
      <c r="F218" s="39"/>
      <c r="G218" s="39"/>
      <c r="H218" s="39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spans="1:26" ht="12.75" customHeight="1" x14ac:dyDescent="0.25">
      <c r="A219" s="38"/>
      <c r="B219" s="38"/>
      <c r="C219" s="38"/>
      <c r="D219" s="39"/>
      <c r="E219" s="39"/>
      <c r="F219" s="39"/>
      <c r="G219" s="39"/>
      <c r="H219" s="39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spans="1:26" ht="12.75" customHeight="1" x14ac:dyDescent="0.25">
      <c r="A220" s="38"/>
      <c r="B220" s="38"/>
      <c r="C220" s="38"/>
      <c r="D220" s="39"/>
      <c r="E220" s="39"/>
      <c r="F220" s="39"/>
      <c r="G220" s="39"/>
      <c r="H220" s="39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spans="1:26" ht="12.75" customHeight="1" x14ac:dyDescent="0.25">
      <c r="A221" s="38"/>
      <c r="B221" s="38"/>
      <c r="C221" s="38"/>
      <c r="D221" s="39"/>
      <c r="E221" s="39"/>
      <c r="F221" s="39"/>
      <c r="G221" s="39"/>
      <c r="H221" s="39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spans="1:26" ht="15.75" customHeight="1" x14ac:dyDescent="0.2"/>
    <row r="223" spans="1:26" ht="15.75" customHeight="1" x14ac:dyDescent="0.2"/>
    <row r="224" spans="1:26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7">
    <mergeCell ref="A7:D7"/>
    <mergeCell ref="E7:H7"/>
    <mergeCell ref="A4:D4"/>
    <mergeCell ref="E4:H4"/>
    <mergeCell ref="A5:D5"/>
    <mergeCell ref="E5:H5"/>
    <mergeCell ref="A6:D6"/>
  </mergeCells>
  <pageMargins left="0.65" right="0.65" top="0.75" bottom="0.75" header="0" footer="0"/>
  <pageSetup paperSize="9" orientation="landscape" useFirstPageNumber="1" horizontalDpi="4294967295" verticalDpi="4294967295"/>
  <headerFooter>
    <oddFooter>&amp;L 02ae-BM/PM/HDCV/FSOFT v2/1&amp;CInternal use&amp;R&amp;P/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60"/>
  <sheetViews>
    <sheetView showGridLines="0" tabSelected="1" topLeftCell="A26" zoomScaleNormal="100" workbookViewId="0">
      <selection activeCell="L39" sqref="L39"/>
    </sheetView>
  </sheetViews>
  <sheetFormatPr defaultRowHeight="13.5" customHeight="1" x14ac:dyDescent="0.2"/>
  <cols>
    <col min="1" max="1" width="15" customWidth="1"/>
    <col min="2" max="2" width="39" customWidth="1"/>
    <col min="3" max="4" width="11" customWidth="1"/>
    <col min="5" max="5" width="12" customWidth="1"/>
    <col min="6" max="8" width="8" customWidth="1"/>
    <col min="9" max="9" width="19" customWidth="1"/>
    <col min="15" max="15" width="15" customWidth="1"/>
    <col min="16" max="16" width="12" customWidth="1"/>
    <col min="17" max="17" width="10" customWidth="1"/>
  </cols>
  <sheetData>
    <row r="1" spans="1:26" ht="20.100000000000001" customHeight="1" x14ac:dyDescent="0.25">
      <c r="A1" s="65"/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 spans="1:26" ht="20.100000000000001" customHeight="1" x14ac:dyDescent="0.4">
      <c r="A2" s="211" t="s">
        <v>547</v>
      </c>
      <c r="B2" s="201"/>
      <c r="C2" s="201"/>
      <c r="D2" s="201"/>
      <c r="E2" s="201"/>
      <c r="F2" s="201"/>
      <c r="G2" s="201"/>
      <c r="H2" s="201"/>
      <c r="I2" s="201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 spans="1:26" ht="20.100000000000001" customHeight="1" x14ac:dyDescent="0.25">
      <c r="A3" s="66"/>
      <c r="B3" s="65"/>
      <c r="C3" s="65"/>
      <c r="D3" s="65"/>
      <c r="E3" s="65"/>
      <c r="F3" s="65"/>
      <c r="G3" s="65"/>
      <c r="H3" s="65"/>
      <c r="I3" s="67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</row>
    <row r="4" spans="1:26" ht="20.100000000000001" customHeight="1" x14ac:dyDescent="0.25">
      <c r="A4" s="17" t="s">
        <v>46</v>
      </c>
      <c r="B4" s="212" t="s">
        <v>47</v>
      </c>
      <c r="C4" s="192"/>
      <c r="D4" s="213" t="s">
        <v>48</v>
      </c>
      <c r="E4" s="192"/>
      <c r="F4" s="214" t="s">
        <v>49</v>
      </c>
      <c r="G4" s="191"/>
      <c r="H4" s="191"/>
      <c r="I4" s="192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</row>
    <row r="5" spans="1:26" ht="20.100000000000001" customHeight="1" x14ac:dyDescent="0.25">
      <c r="A5" s="17" t="s">
        <v>50</v>
      </c>
      <c r="B5" s="215" t="s">
        <v>51</v>
      </c>
      <c r="C5" s="192"/>
      <c r="D5" s="213" t="s">
        <v>52</v>
      </c>
      <c r="E5" s="192"/>
      <c r="F5" s="214"/>
      <c r="G5" s="191"/>
      <c r="H5" s="191"/>
      <c r="I5" s="192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</row>
    <row r="6" spans="1:26" ht="20.100000000000001" customHeight="1" x14ac:dyDescent="0.25">
      <c r="A6" s="69" t="s">
        <v>53</v>
      </c>
      <c r="B6" s="68" t="s">
        <v>54</v>
      </c>
      <c r="D6" s="213" t="s">
        <v>55</v>
      </c>
      <c r="E6" s="192"/>
      <c r="F6" s="216">
        <v>46313</v>
      </c>
      <c r="G6" s="191"/>
      <c r="H6" s="191"/>
      <c r="I6" s="192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</row>
    <row r="7" spans="1:26" ht="20.100000000000001" customHeight="1" x14ac:dyDescent="0.25">
      <c r="A7" s="69" t="s">
        <v>548</v>
      </c>
      <c r="B7" s="217" t="s">
        <v>549</v>
      </c>
      <c r="C7" s="191"/>
      <c r="D7" s="191"/>
      <c r="E7" s="191"/>
      <c r="F7" s="191"/>
      <c r="G7" s="191"/>
      <c r="H7" s="191"/>
      <c r="I7" s="192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</row>
    <row r="8" spans="1:26" ht="20.100000000000001" customHeight="1" x14ac:dyDescent="0.25">
      <c r="A8" s="70"/>
      <c r="B8" s="71"/>
      <c r="C8" s="72"/>
      <c r="D8" s="65"/>
      <c r="E8" s="65"/>
      <c r="F8" s="65"/>
      <c r="G8" s="65"/>
      <c r="H8" s="65"/>
      <c r="I8" s="67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</row>
    <row r="9" spans="1:26" ht="20.100000000000001" customHeight="1" x14ac:dyDescent="0.25">
      <c r="A9" s="70"/>
      <c r="B9" s="71"/>
      <c r="C9" s="65"/>
      <c r="D9" s="65"/>
      <c r="E9" s="65"/>
      <c r="F9" s="65"/>
      <c r="G9" s="65"/>
      <c r="H9" s="65"/>
      <c r="I9" s="67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</row>
    <row r="10" spans="1:26" ht="20.100000000000001" customHeight="1" x14ac:dyDescent="0.25">
      <c r="A10" s="65"/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</row>
    <row r="11" spans="1:26" ht="20.100000000000001" customHeight="1" x14ac:dyDescent="0.25">
      <c r="A11" s="73" t="s">
        <v>75</v>
      </c>
      <c r="B11" s="74" t="s">
        <v>550</v>
      </c>
      <c r="C11" s="75" t="s">
        <v>551</v>
      </c>
      <c r="D11" s="74" t="s">
        <v>552</v>
      </c>
      <c r="E11" s="76" t="s">
        <v>553</v>
      </c>
      <c r="F11" s="76" t="s">
        <v>554</v>
      </c>
      <c r="G11" s="76" t="s">
        <v>555</v>
      </c>
      <c r="H11" s="76" t="s">
        <v>556</v>
      </c>
      <c r="I11" s="77" t="s">
        <v>557</v>
      </c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</row>
    <row r="12" spans="1:26" ht="20.100000000000001" customHeight="1" x14ac:dyDescent="0.25">
      <c r="A12" s="78">
        <v>1</v>
      </c>
      <c r="B12" s="79" t="str">
        <f>FunctionList!E11</f>
        <v>MTR_APPLICATION</v>
      </c>
      <c r="C12" s="80">
        <f>Mentor_Application!A7</f>
        <v>8</v>
      </c>
      <c r="D12" s="80">
        <f>Mentor_Application!C7</f>
        <v>0</v>
      </c>
      <c r="E12" s="80">
        <f>Mentor_Application!F7</f>
        <v>0</v>
      </c>
      <c r="F12" s="81">
        <f>Mentor_Application!L7</f>
        <v>0</v>
      </c>
      <c r="G12" s="80">
        <f>Mentor_Application!M7</f>
        <v>7</v>
      </c>
      <c r="H12" s="80">
        <f>Mentor_Application!N7</f>
        <v>1</v>
      </c>
      <c r="I12" s="80">
        <f>Mentor_Application!O7</f>
        <v>8</v>
      </c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</row>
    <row r="13" spans="1:26" ht="20.100000000000001" customHeight="1" x14ac:dyDescent="0.25">
      <c r="A13" s="78">
        <v>2</v>
      </c>
      <c r="B13" s="79" t="str">
        <f>FunctionList!E12</f>
        <v>MTR_AVAILABILITY</v>
      </c>
      <c r="C13" s="80">
        <f>Availability_Schedule!A7</f>
        <v>22</v>
      </c>
      <c r="D13" s="80">
        <f>Availability_Schedule!C7</f>
        <v>0</v>
      </c>
      <c r="E13" s="80">
        <f>Availability_Schedule!F7</f>
        <v>0</v>
      </c>
      <c r="F13" s="81">
        <f>Availability_Schedule!L7</f>
        <v>14</v>
      </c>
      <c r="G13" s="80">
        <f>Availability_Schedule!M7</f>
        <v>7</v>
      </c>
      <c r="H13" s="80">
        <f>Availability_Schedule!N7</f>
        <v>1</v>
      </c>
      <c r="I13" s="80">
        <f>Availability_Schedule!O7</f>
        <v>22</v>
      </c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</row>
    <row r="14" spans="1:26" ht="20.100000000000001" customHeight="1" x14ac:dyDescent="0.25">
      <c r="A14" s="78">
        <v>3</v>
      </c>
      <c r="B14" s="79" t="str">
        <f>FunctionList!E13</f>
        <v>MTR_PROFILE</v>
      </c>
      <c r="C14" s="80">
        <f>Profile_Management!A7</f>
        <v>35</v>
      </c>
      <c r="D14" s="80">
        <f>Profile_Management!C7</f>
        <v>0</v>
      </c>
      <c r="E14" s="80">
        <f>Profile_Management!F7</f>
        <v>1</v>
      </c>
      <c r="F14" s="81">
        <f>Profile_Management!L7</f>
        <v>22</v>
      </c>
      <c r="G14" s="80">
        <f>Profile_Management!M7</f>
        <v>9</v>
      </c>
      <c r="H14" s="80">
        <f>Profile_Management!N7</f>
        <v>5</v>
      </c>
      <c r="I14" s="80">
        <f>Profile_Management!O7</f>
        <v>36</v>
      </c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</row>
    <row r="15" spans="1:26" ht="20.100000000000001" customHeight="1" x14ac:dyDescent="0.25">
      <c r="A15" s="78">
        <v>4</v>
      </c>
      <c r="B15" s="79" t="str">
        <f>FunctionList!E14</f>
        <v>MTR_PACKAGES</v>
      </c>
      <c r="C15" s="80">
        <f>Package_Management!A7</f>
        <v>11</v>
      </c>
      <c r="D15" s="80">
        <f>Package_Management!C7</f>
        <v>0</v>
      </c>
      <c r="E15" s="80">
        <f>Package_Management!F7</f>
        <v>0</v>
      </c>
      <c r="F15" s="81">
        <f>Package_Management!L7</f>
        <v>7</v>
      </c>
      <c r="G15" s="80">
        <f>Package_Management!M7</f>
        <v>4</v>
      </c>
      <c r="H15" s="80">
        <f>Package_Management!N7</f>
        <v>0</v>
      </c>
      <c r="I15" s="80">
        <f>Package_Management!O7</f>
        <v>11</v>
      </c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</row>
    <row r="16" spans="1:26" ht="20.100000000000001" customHeight="1" x14ac:dyDescent="0.2">
      <c r="A16" s="78">
        <v>5</v>
      </c>
      <c r="B16" s="79" t="str">
        <f>FunctionList!E15</f>
        <v>MTR_DASHBOARD</v>
      </c>
      <c r="C16" s="80">
        <f>Dashboard_Overview!A7</f>
        <v>13</v>
      </c>
      <c r="D16" s="80">
        <f>Dashboard_Overview!C7</f>
        <v>0</v>
      </c>
      <c r="E16" s="80">
        <f>Dashboard_Overview!F7</f>
        <v>0</v>
      </c>
      <c r="F16" s="80">
        <f>Dashboard_Overview!L7</f>
        <v>10</v>
      </c>
      <c r="G16" s="80">
        <f>Dashboard_Overview!M7</f>
        <v>3</v>
      </c>
      <c r="H16" s="80">
        <f>Dashboard_Overview!N7</f>
        <v>0</v>
      </c>
      <c r="I16" s="80">
        <f>Dashboard_Overview!O7</f>
        <v>13</v>
      </c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</row>
    <row r="17" spans="1:26" ht="20.100000000000001" customHeight="1" x14ac:dyDescent="0.2">
      <c r="A17" s="83">
        <v>6</v>
      </c>
      <c r="B17" s="79" t="str">
        <f>FunctionList!E16</f>
        <v>MTR_REQUESTS</v>
      </c>
      <c r="C17" s="84">
        <f>Request_Approval!A7</f>
        <v>31</v>
      </c>
      <c r="D17" s="84">
        <f>Request_Approval!C7</f>
        <v>0</v>
      </c>
      <c r="E17" s="80">
        <f>Request_Approval!F7</f>
        <v>2</v>
      </c>
      <c r="F17" s="84">
        <f>Request_Approval!L7</f>
        <v>19</v>
      </c>
      <c r="G17" s="80">
        <f>Request_Approval!M7</f>
        <v>13</v>
      </c>
      <c r="H17" s="80">
        <f>Request_Approval!N7</f>
        <v>1</v>
      </c>
      <c r="I17" s="84">
        <f>Request_Approval!O7</f>
        <v>33</v>
      </c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</row>
    <row r="18" spans="1:26" ht="20.100000000000001" customHeight="1" x14ac:dyDescent="0.2">
      <c r="A18" s="83">
        <v>7</v>
      </c>
      <c r="B18" s="79" t="str">
        <f>FunctionList!E17</f>
        <v>MTR_WORKSPACE</v>
      </c>
      <c r="C18" s="84">
        <f>Workspace_Management!A7</f>
        <v>13</v>
      </c>
      <c r="D18" s="80">
        <f>Workspace_Management!C7</f>
        <v>0</v>
      </c>
      <c r="E18" s="80">
        <f>Workspace_Management!F7</f>
        <v>1</v>
      </c>
      <c r="F18" s="84">
        <f>Workspace_Management!L7</f>
        <v>10</v>
      </c>
      <c r="G18" s="80">
        <f>Workspace_Management!M7</f>
        <v>3</v>
      </c>
      <c r="H18" s="80">
        <f>Workspace_Management!N7</f>
        <v>1</v>
      </c>
      <c r="I18" s="84">
        <f>Workspace_Management!O7</f>
        <v>14</v>
      </c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</row>
    <row r="19" spans="1:26" ht="20.100000000000001" customHeight="1" x14ac:dyDescent="0.2">
      <c r="A19" s="83">
        <v>8</v>
      </c>
      <c r="B19" s="79" t="str">
        <f>FunctionList!E18</f>
        <v>MTR_WALLET</v>
      </c>
      <c r="C19" s="84">
        <f>Wallet_Payout!A7</f>
        <v>22</v>
      </c>
      <c r="D19" s="84">
        <f>Wallet_Payout!C7</f>
        <v>0</v>
      </c>
      <c r="E19" s="80">
        <f>Wallet_Payout!F7</f>
        <v>0</v>
      </c>
      <c r="F19" s="84">
        <f>Wallet_Payout!L7</f>
        <v>16</v>
      </c>
      <c r="G19" s="80">
        <f>Wallet_Payout!M7</f>
        <v>6</v>
      </c>
      <c r="H19" s="80">
        <f>Wallet_Payout!N7</f>
        <v>0</v>
      </c>
      <c r="I19" s="84">
        <f>Wallet_Payout!O7</f>
        <v>22</v>
      </c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</row>
    <row r="20" spans="1:26" ht="20.100000000000001" customHeight="1" x14ac:dyDescent="0.2">
      <c r="A20" s="83">
        <v>9</v>
      </c>
      <c r="B20" s="79" t="str">
        <f>FunctionList!E19</f>
        <v>MTR_REVIEWS</v>
      </c>
      <c r="C20" s="84">
        <f>Review_Feedback!A7</f>
        <v>13</v>
      </c>
      <c r="D20" s="80">
        <f>Review_Feedback!C7</f>
        <v>0</v>
      </c>
      <c r="E20" s="84">
        <f>Review_Feedback!F7</f>
        <v>0</v>
      </c>
      <c r="F20" s="84">
        <f>Review_Feedback!L7</f>
        <v>9</v>
      </c>
      <c r="G20" s="80">
        <f>Review_Feedback!M7</f>
        <v>1</v>
      </c>
      <c r="H20" s="80">
        <f>Review_Feedback!N7</f>
        <v>3</v>
      </c>
      <c r="I20" s="84">
        <f>Review_Feedback!O7</f>
        <v>13</v>
      </c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</row>
    <row r="21" spans="1:26" ht="20.100000000000001" customHeight="1" x14ac:dyDescent="0.25">
      <c r="A21" s="85"/>
      <c r="B21" s="86" t="s">
        <v>558</v>
      </c>
      <c r="C21" s="85">
        <f t="shared" ref="C21:I21" si="0">SUM(C12:C20)</f>
        <v>168</v>
      </c>
      <c r="D21" s="85">
        <f t="shared" si="0"/>
        <v>0</v>
      </c>
      <c r="E21" s="85">
        <f t="shared" si="0"/>
        <v>4</v>
      </c>
      <c r="F21" s="85">
        <f t="shared" si="0"/>
        <v>107</v>
      </c>
      <c r="G21" s="85">
        <f t="shared" si="0"/>
        <v>53</v>
      </c>
      <c r="H21" s="85">
        <f t="shared" si="0"/>
        <v>12</v>
      </c>
      <c r="I21" s="85">
        <f t="shared" si="0"/>
        <v>172</v>
      </c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</row>
    <row r="22" spans="1:26" ht="20.100000000000001" customHeight="1" x14ac:dyDescent="0.3">
      <c r="A22" s="87"/>
      <c r="B22" s="218" t="s">
        <v>559</v>
      </c>
      <c r="C22" s="219"/>
      <c r="D22" s="88">
        <f>IF(I21=0,0,SUM(C21:D21)/I21)</f>
        <v>0.97674418604651159</v>
      </c>
      <c r="E22" s="89"/>
      <c r="F22" s="87"/>
      <c r="G22" s="90"/>
      <c r="H22" s="90"/>
      <c r="I22" s="87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</row>
    <row r="23" spans="1:26" ht="20.100000000000001" customHeight="1" x14ac:dyDescent="0.3">
      <c r="A23" s="87"/>
      <c r="B23" s="218" t="s">
        <v>560</v>
      </c>
      <c r="C23" s="219"/>
      <c r="D23" s="88">
        <f>IF(I21=0,0,C21/I21)</f>
        <v>0.97674418604651159</v>
      </c>
      <c r="E23" s="90"/>
      <c r="F23" s="87"/>
      <c r="G23" s="90"/>
      <c r="H23" s="90"/>
      <c r="I23" s="87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</row>
    <row r="24" spans="1:26" ht="20.100000000000001" customHeight="1" x14ac:dyDescent="0.3">
      <c r="A24" s="87"/>
      <c r="B24" s="218" t="s">
        <v>561</v>
      </c>
      <c r="C24" s="219"/>
      <c r="D24" s="88">
        <f>IF(I21=0,0,F21/I21)</f>
        <v>0.62209302325581395</v>
      </c>
      <c r="E24" s="90"/>
      <c r="F24" s="87"/>
      <c r="G24" s="90"/>
      <c r="H24" s="90"/>
      <c r="I24" s="87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</row>
    <row r="25" spans="1:26" ht="20.100000000000001" customHeight="1" x14ac:dyDescent="0.3">
      <c r="A25" s="87"/>
      <c r="B25" s="218" t="s">
        <v>562</v>
      </c>
      <c r="C25" s="219"/>
      <c r="D25" s="88">
        <f>IF(I21=0,0,G21/I21)</f>
        <v>0.30813953488372092</v>
      </c>
      <c r="E25" s="90"/>
      <c r="F25" s="87"/>
      <c r="G25" s="90"/>
      <c r="H25" s="90"/>
      <c r="I25" s="87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</row>
    <row r="26" spans="1:26" ht="20.100000000000001" customHeight="1" x14ac:dyDescent="0.3">
      <c r="A26" s="91"/>
      <c r="B26" s="220" t="s">
        <v>563</v>
      </c>
      <c r="C26" s="219"/>
      <c r="D26" s="92">
        <f>IF(I21=0,0,H21/I21)</f>
        <v>6.9767441860465115E-2</v>
      </c>
      <c r="E26" s="93"/>
      <c r="F26" s="91"/>
      <c r="G26" s="93"/>
      <c r="H26" s="93"/>
      <c r="I26" s="91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</row>
    <row r="27" spans="1:26" ht="20.100000000000001" customHeight="1" x14ac:dyDescent="0.3">
      <c r="A27" s="94"/>
      <c r="B27" s="95"/>
      <c r="D27" s="96"/>
      <c r="E27" s="97"/>
      <c r="F27" s="98"/>
      <c r="G27" s="97"/>
      <c r="H27" s="97"/>
      <c r="I27" s="98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</row>
    <row r="28" spans="1:26" ht="20.100000000000001" customHeight="1" x14ac:dyDescent="0.3">
      <c r="A28" s="99"/>
      <c r="B28" s="100"/>
      <c r="C28" s="101"/>
      <c r="D28" s="102"/>
      <c r="E28" s="103"/>
      <c r="F28" s="104"/>
      <c r="G28" s="102"/>
      <c r="H28" s="102"/>
      <c r="I28" s="104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</row>
    <row r="29" spans="1:26" ht="20.100000000000001" customHeight="1" x14ac:dyDescent="0.3">
      <c r="A29" s="99"/>
      <c r="B29" s="100"/>
      <c r="C29" s="104"/>
      <c r="D29" s="105"/>
      <c r="E29" s="103"/>
      <c r="F29" s="104"/>
      <c r="G29" s="102"/>
      <c r="H29" s="102"/>
      <c r="I29" s="104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</row>
    <row r="30" spans="1:26" ht="20.100000000000001" customHeight="1" x14ac:dyDescent="0.3">
      <c r="A30" s="99"/>
      <c r="B30" s="100"/>
      <c r="C30" s="104"/>
      <c r="D30" s="106"/>
      <c r="E30" s="103"/>
      <c r="F30" s="104"/>
      <c r="G30" s="102"/>
      <c r="H30" s="102"/>
      <c r="I30" s="104"/>
      <c r="J30" s="82"/>
      <c r="K30" s="82"/>
      <c r="L30" s="82"/>
      <c r="M30" s="82"/>
      <c r="N30" s="82"/>
      <c r="O30" s="82" t="s">
        <v>564</v>
      </c>
      <c r="P30" s="82" t="s">
        <v>565</v>
      </c>
      <c r="Q30" s="82" t="s">
        <v>566</v>
      </c>
      <c r="R30" s="82"/>
      <c r="S30" s="82"/>
      <c r="T30" s="82"/>
      <c r="U30" s="82"/>
      <c r="V30" s="82"/>
      <c r="W30" s="82"/>
      <c r="X30" s="82"/>
      <c r="Y30" s="82"/>
      <c r="Z30" s="82"/>
    </row>
    <row r="31" spans="1:26" ht="20.100000000000001" customHeight="1" x14ac:dyDescent="0.3">
      <c r="A31" s="99"/>
      <c r="B31" s="100"/>
      <c r="C31" s="104"/>
      <c r="D31" s="105"/>
      <c r="E31" s="102"/>
      <c r="F31" s="104"/>
      <c r="G31" s="102"/>
      <c r="H31" s="102"/>
      <c r="I31" s="104"/>
      <c r="J31" s="82"/>
      <c r="K31" s="82"/>
      <c r="L31" s="82"/>
      <c r="M31" s="82"/>
      <c r="N31" s="82"/>
      <c r="O31" s="82" t="s">
        <v>551</v>
      </c>
      <c r="P31" s="82">
        <f>C21</f>
        <v>168</v>
      </c>
      <c r="Q31" s="107">
        <f>P31/SUM($P$31:$P$33)</f>
        <v>0.97674418604651159</v>
      </c>
      <c r="R31" s="82"/>
      <c r="S31" s="82"/>
      <c r="T31" s="82"/>
      <c r="U31" s="82"/>
      <c r="V31" s="82"/>
      <c r="W31" s="82"/>
      <c r="X31" s="82"/>
      <c r="Y31" s="82"/>
      <c r="Z31" s="82"/>
    </row>
    <row r="32" spans="1:26" ht="20.100000000000001" customHeight="1" x14ac:dyDescent="0.3">
      <c r="A32" s="99"/>
      <c r="B32" s="100"/>
      <c r="C32" s="104"/>
      <c r="D32" s="105"/>
      <c r="E32" s="102"/>
      <c r="F32" s="104"/>
      <c r="G32" s="102"/>
      <c r="H32" s="102"/>
      <c r="I32" s="104"/>
      <c r="J32" s="82"/>
      <c r="K32" s="82"/>
      <c r="L32" s="82"/>
      <c r="M32" s="82"/>
      <c r="N32" s="82"/>
      <c r="O32" s="82" t="s">
        <v>552</v>
      </c>
      <c r="P32" s="82">
        <f>D21</f>
        <v>0</v>
      </c>
      <c r="Q32" s="107">
        <f>P32/SUM($P$31:$P$33)</f>
        <v>0</v>
      </c>
      <c r="R32" s="82"/>
      <c r="S32" s="82"/>
      <c r="T32" s="82"/>
      <c r="U32" s="82"/>
      <c r="V32" s="82"/>
      <c r="W32" s="82"/>
      <c r="X32" s="82"/>
      <c r="Y32" s="82"/>
      <c r="Z32" s="82"/>
    </row>
    <row r="33" spans="1:26" ht="20.100000000000001" customHeight="1" x14ac:dyDescent="0.3">
      <c r="A33" s="99"/>
      <c r="B33" s="100"/>
      <c r="C33" s="104"/>
      <c r="D33" s="105"/>
      <c r="E33" s="102"/>
      <c r="F33" s="104"/>
      <c r="G33" s="102"/>
      <c r="H33" s="102"/>
      <c r="I33" s="104"/>
      <c r="J33" s="82"/>
      <c r="K33" s="82"/>
      <c r="L33" s="82"/>
      <c r="M33" s="82"/>
      <c r="N33" s="82"/>
      <c r="O33" s="82" t="s">
        <v>553</v>
      </c>
      <c r="P33" s="82">
        <f>E21</f>
        <v>4</v>
      </c>
      <c r="Q33" s="107">
        <f>P33/SUM($P$31:$P$33)</f>
        <v>2.3255813953488372E-2</v>
      </c>
      <c r="R33" s="82"/>
      <c r="S33" s="82"/>
      <c r="T33" s="82"/>
      <c r="U33" s="82"/>
      <c r="V33" s="82"/>
      <c r="W33" s="82"/>
      <c r="X33" s="82"/>
      <c r="Y33" s="82"/>
      <c r="Z33" s="82"/>
    </row>
    <row r="34" spans="1:26" ht="20.100000000000001" customHeight="1" x14ac:dyDescent="0.3">
      <c r="A34" s="99"/>
      <c r="B34" s="108"/>
      <c r="C34" s="109"/>
      <c r="D34" s="110"/>
      <c r="E34" s="110"/>
      <c r="F34" s="109"/>
      <c r="G34" s="110"/>
      <c r="H34" s="110"/>
      <c r="I34" s="109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</row>
    <row r="35" spans="1:26" ht="20.100000000000001" customHeight="1" x14ac:dyDescent="0.3">
      <c r="A35" s="99"/>
      <c r="B35" s="108"/>
      <c r="C35" s="109"/>
      <c r="D35" s="109"/>
      <c r="E35" s="111"/>
      <c r="F35" s="109"/>
      <c r="G35" s="110"/>
      <c r="H35" s="110"/>
      <c r="I35" s="109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</row>
    <row r="36" spans="1:26" ht="20.100000000000001" customHeight="1" x14ac:dyDescent="0.3">
      <c r="A36" s="99"/>
      <c r="B36" s="108"/>
      <c r="C36" s="109"/>
      <c r="D36" s="110"/>
      <c r="E36" s="110"/>
      <c r="F36" s="109"/>
      <c r="G36" s="110"/>
      <c r="H36" s="110"/>
      <c r="I36" s="109"/>
      <c r="J36" s="82"/>
      <c r="K36" s="82"/>
      <c r="L36" s="82"/>
      <c r="M36" s="82"/>
      <c r="N36" s="82"/>
      <c r="O36" s="82" t="s">
        <v>567</v>
      </c>
      <c r="P36" s="82" t="s">
        <v>565</v>
      </c>
      <c r="Q36" s="82" t="s">
        <v>566</v>
      </c>
      <c r="R36" s="82"/>
      <c r="S36" s="82"/>
      <c r="T36" s="82"/>
      <c r="U36" s="82"/>
      <c r="V36" s="82"/>
      <c r="W36" s="82"/>
      <c r="X36" s="82"/>
      <c r="Y36" s="82"/>
      <c r="Z36" s="82"/>
    </row>
    <row r="37" spans="1:26" ht="20.100000000000001" customHeight="1" x14ac:dyDescent="0.3">
      <c r="A37" s="99"/>
      <c r="B37" s="108"/>
      <c r="C37" s="109"/>
      <c r="D37" s="110"/>
      <c r="E37" s="110"/>
      <c r="F37" s="109"/>
      <c r="G37" s="110"/>
      <c r="H37" s="110"/>
      <c r="I37" s="109"/>
      <c r="J37" s="82"/>
      <c r="K37" s="82"/>
      <c r="L37" s="82"/>
      <c r="M37" s="82"/>
      <c r="N37" s="82"/>
      <c r="O37" s="82" t="s">
        <v>554</v>
      </c>
      <c r="P37" s="82">
        <f>F21</f>
        <v>107</v>
      </c>
      <c r="Q37" s="107">
        <f>P37/SUM($P$37:$P$39)</f>
        <v>0.62209302325581395</v>
      </c>
      <c r="R37" s="82"/>
      <c r="S37" s="82"/>
      <c r="T37" s="82"/>
      <c r="U37" s="82"/>
      <c r="V37" s="82"/>
      <c r="W37" s="82"/>
      <c r="X37" s="82"/>
      <c r="Y37" s="82"/>
      <c r="Z37" s="82"/>
    </row>
    <row r="38" spans="1:26" ht="20.100000000000001" customHeight="1" x14ac:dyDescent="0.3">
      <c r="A38" s="99"/>
      <c r="B38" s="108"/>
      <c r="C38" s="109"/>
      <c r="D38" s="110"/>
      <c r="E38" s="110"/>
      <c r="F38" s="109"/>
      <c r="G38" s="110"/>
      <c r="H38" s="110"/>
      <c r="I38" s="109"/>
      <c r="J38" s="82"/>
      <c r="K38" s="82"/>
      <c r="L38" s="82"/>
      <c r="M38" s="82"/>
      <c r="N38" s="82"/>
      <c r="O38" s="82" t="s">
        <v>555</v>
      </c>
      <c r="P38" s="82">
        <f>G21</f>
        <v>53</v>
      </c>
      <c r="Q38" s="107">
        <f>P38/SUM($P$37:$P$39)</f>
        <v>0.30813953488372092</v>
      </c>
      <c r="R38" s="82"/>
      <c r="S38" s="82"/>
      <c r="T38" s="82"/>
      <c r="U38" s="82"/>
      <c r="V38" s="82"/>
      <c r="W38" s="82"/>
      <c r="X38" s="82"/>
      <c r="Y38" s="82"/>
      <c r="Z38" s="82"/>
    </row>
    <row r="39" spans="1:26" ht="20.100000000000001" customHeight="1" x14ac:dyDescent="0.3">
      <c r="A39" s="99"/>
      <c r="B39" s="108"/>
      <c r="C39" s="109"/>
      <c r="D39" s="110"/>
      <c r="E39" s="110"/>
      <c r="F39" s="109"/>
      <c r="G39" s="110"/>
      <c r="H39" s="110"/>
      <c r="I39" s="109"/>
      <c r="J39" s="82"/>
      <c r="K39" s="82"/>
      <c r="L39" s="82"/>
      <c r="M39" s="82"/>
      <c r="N39" s="82"/>
      <c r="O39" s="82" t="s">
        <v>556</v>
      </c>
      <c r="P39" s="82">
        <f>H21</f>
        <v>12</v>
      </c>
      <c r="Q39" s="107">
        <f>P39/SUM($P$37:$P$39)</f>
        <v>6.9767441860465115E-2</v>
      </c>
      <c r="R39" s="82"/>
      <c r="S39" s="82"/>
      <c r="T39" s="82"/>
      <c r="U39" s="82"/>
      <c r="V39" s="82"/>
      <c r="W39" s="82"/>
      <c r="X39" s="82"/>
      <c r="Y39" s="82"/>
      <c r="Z39" s="82"/>
    </row>
    <row r="40" spans="1:26" ht="20.100000000000001" customHeight="1" x14ac:dyDescent="0.3">
      <c r="A40" s="99"/>
      <c r="B40" s="108"/>
      <c r="C40" s="109"/>
      <c r="D40" s="110"/>
      <c r="E40" s="110"/>
      <c r="F40" s="109"/>
      <c r="G40" s="110"/>
      <c r="H40" s="110"/>
      <c r="I40" s="109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</row>
    <row r="41" spans="1:26" ht="20.100000000000001" customHeight="1" x14ac:dyDescent="0.25">
      <c r="A41" s="112"/>
      <c r="B41" s="113"/>
      <c r="C41" s="114"/>
      <c r="D41" s="114"/>
      <c r="E41" s="114"/>
      <c r="F41" s="114"/>
      <c r="G41" s="114"/>
      <c r="H41" s="114"/>
      <c r="I41" s="114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</row>
    <row r="42" spans="1:26" ht="20.100000000000001" customHeight="1" x14ac:dyDescent="0.25">
      <c r="A42" s="115"/>
      <c r="B42" s="65"/>
      <c r="C42" s="116"/>
      <c r="D42" s="117"/>
      <c r="E42" s="117"/>
      <c r="F42" s="117"/>
      <c r="G42" s="117"/>
      <c r="H42" s="117"/>
      <c r="I42" s="117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</row>
    <row r="43" spans="1:26" ht="20.100000000000001" customHeight="1" x14ac:dyDescent="0.25">
      <c r="A43" s="65"/>
      <c r="B43" s="118"/>
      <c r="C43" s="65"/>
      <c r="D43" s="119"/>
      <c r="E43" s="65"/>
      <c r="F43" s="65"/>
      <c r="G43" s="65"/>
      <c r="H43" s="65"/>
      <c r="I43" s="120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</row>
    <row r="44" spans="1:26" ht="20.100000000000001" customHeight="1" x14ac:dyDescent="0.25">
      <c r="A44" s="65"/>
      <c r="B44" s="118"/>
      <c r="C44" s="65"/>
      <c r="D44" s="119"/>
      <c r="E44" s="65"/>
      <c r="F44" s="65"/>
      <c r="G44" s="65"/>
      <c r="H44" s="65"/>
      <c r="I44" s="120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</row>
    <row r="45" spans="1:26" ht="20.100000000000001" customHeight="1" x14ac:dyDescent="0.25">
      <c r="A45" s="65"/>
      <c r="B45" s="118"/>
      <c r="C45" s="65"/>
      <c r="D45" s="119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</row>
    <row r="46" spans="1:26" ht="20.100000000000001" customHeight="1" x14ac:dyDescent="0.25">
      <c r="A46" s="65"/>
      <c r="B46" s="118"/>
      <c r="C46" s="65"/>
      <c r="D46" s="119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</row>
    <row r="47" spans="1:26" ht="20.100000000000001" customHeight="1" x14ac:dyDescent="0.25">
      <c r="A47" s="65"/>
      <c r="B47" s="118"/>
      <c r="C47" s="65"/>
      <c r="D47" s="119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</row>
    <row r="48" spans="1:26" ht="20.100000000000001" customHeight="1" x14ac:dyDescent="0.25">
      <c r="A48" s="65"/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</row>
    <row r="49" spans="1:26" ht="20.100000000000001" customHeight="1" x14ac:dyDescent="0.25">
      <c r="A49" s="65"/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</row>
    <row r="50" spans="1:26" ht="20.100000000000001" customHeight="1" x14ac:dyDescent="0.25">
      <c r="A50" s="65"/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</row>
    <row r="51" spans="1:26" ht="20.100000000000001" customHeight="1" x14ac:dyDescent="0.2"/>
    <row r="52" spans="1:26" ht="20.100000000000001" customHeight="1" x14ac:dyDescent="0.2"/>
    <row r="53" spans="1:26" ht="20.100000000000001" customHeight="1" x14ac:dyDescent="0.2"/>
    <row r="54" spans="1:26" ht="20.100000000000001" customHeight="1" x14ac:dyDescent="0.2"/>
    <row r="55" spans="1:26" ht="20.100000000000001" customHeight="1" x14ac:dyDescent="0.2"/>
    <row r="56" spans="1:26" ht="20.100000000000001" customHeight="1" x14ac:dyDescent="0.2"/>
    <row r="57" spans="1:26" ht="20.100000000000001" customHeight="1" x14ac:dyDescent="0.2"/>
    <row r="58" spans="1:26" ht="20.100000000000001" customHeight="1" x14ac:dyDescent="0.2"/>
    <row r="59" spans="1:26" ht="20.100000000000001" customHeight="1" x14ac:dyDescent="0.2"/>
    <row r="60" spans="1:26" ht="12.75" customHeight="1" x14ac:dyDescent="0.2"/>
  </sheetData>
  <mergeCells count="15">
    <mergeCell ref="B24:C24"/>
    <mergeCell ref="B25:C25"/>
    <mergeCell ref="B26:C26"/>
    <mergeCell ref="D6:E6"/>
    <mergeCell ref="F6:I6"/>
    <mergeCell ref="B7:I7"/>
    <mergeCell ref="B22:C22"/>
    <mergeCell ref="B23:C23"/>
    <mergeCell ref="A2:I2"/>
    <mergeCell ref="B4:C4"/>
    <mergeCell ref="D4:E4"/>
    <mergeCell ref="F4:I4"/>
    <mergeCell ref="B5:C5"/>
    <mergeCell ref="D5:E5"/>
    <mergeCell ref="F5:I5"/>
  </mergeCells>
  <pageMargins left="0.7" right="0.7" top="0.75" bottom="0.75" header="0.3" footer="0.3"/>
  <pageSetup orientation="portrait" useFirstPageNumber="1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34"/>
  <sheetViews>
    <sheetView zoomScale="70" zoomScaleNormal="70" workbookViewId="0">
      <pane xSplit="5" ySplit="9" topLeftCell="F19" activePane="bottomRight" state="frozen"/>
      <selection pane="topRight"/>
      <selection pane="bottomLeft"/>
      <selection pane="bottomRight" activeCell="K18" sqref="K18"/>
    </sheetView>
  </sheetViews>
  <sheetFormatPr defaultRowHeight="13.5" customHeight="1" x14ac:dyDescent="0.2"/>
  <cols>
    <col min="1" max="1" width="11" customWidth="1"/>
    <col min="2" max="2" width="15" customWidth="1"/>
    <col min="3" max="3" width="20" customWidth="1"/>
    <col min="4" max="5" width="13" customWidth="1"/>
    <col min="6" max="6" width="10" customWidth="1"/>
    <col min="7" max="15" width="13" customWidth="1"/>
    <col min="16" max="90" width="8.33203125" customWidth="1"/>
  </cols>
  <sheetData>
    <row r="1" spans="1:15" ht="13.5" customHeight="1" x14ac:dyDescent="0.2">
      <c r="A1" s="121"/>
      <c r="B1" s="122"/>
      <c r="C1" s="123"/>
      <c r="D1" s="123"/>
      <c r="E1" s="123"/>
      <c r="F1" s="124"/>
      <c r="G1" s="124"/>
      <c r="H1" s="124"/>
      <c r="I1" s="124"/>
      <c r="J1" s="124"/>
      <c r="K1" s="124"/>
      <c r="L1" s="124"/>
      <c r="M1" s="124"/>
      <c r="N1" s="124"/>
      <c r="O1" s="124"/>
    </row>
    <row r="2" spans="1:15" ht="27.9" customHeight="1" x14ac:dyDescent="0.2">
      <c r="A2" s="221" t="s">
        <v>568</v>
      </c>
      <c r="B2" s="221"/>
      <c r="C2" s="222" t="s">
        <v>86</v>
      </c>
      <c r="D2" s="222"/>
      <c r="E2" s="222"/>
      <c r="F2" s="223" t="s">
        <v>78</v>
      </c>
      <c r="G2" s="223"/>
      <c r="H2" s="223"/>
      <c r="I2" s="223"/>
      <c r="J2" s="223"/>
      <c r="K2" s="223"/>
      <c r="L2" s="224" t="str">
        <f>FunctionList!D11</f>
        <v>See the per-case source map in the evidence document</v>
      </c>
      <c r="M2" s="224"/>
      <c r="N2" s="224"/>
      <c r="O2" s="224"/>
    </row>
    <row r="3" spans="1:15" ht="27.9" customHeight="1" x14ac:dyDescent="0.2">
      <c r="A3" s="221" t="s">
        <v>569</v>
      </c>
      <c r="B3" s="221"/>
      <c r="C3" s="222" t="s">
        <v>49</v>
      </c>
      <c r="D3" s="222"/>
      <c r="E3" s="222"/>
      <c r="F3" s="223" t="s">
        <v>570</v>
      </c>
      <c r="G3" s="223"/>
      <c r="H3" s="223"/>
      <c r="I3" s="223"/>
      <c r="J3" s="223"/>
      <c r="K3" s="223"/>
      <c r="L3" s="225"/>
      <c r="M3" s="225"/>
      <c r="N3" s="225"/>
      <c r="O3" s="225"/>
    </row>
    <row r="4" spans="1:15" ht="27.9" customHeight="1" x14ac:dyDescent="0.2">
      <c r="A4" s="221" t="s">
        <v>571</v>
      </c>
      <c r="B4" s="221"/>
      <c r="C4" s="221"/>
      <c r="D4" s="221"/>
      <c r="E4" s="221"/>
      <c r="F4" s="223" t="s">
        <v>572</v>
      </c>
      <c r="G4" s="223"/>
      <c r="H4" s="223"/>
      <c r="I4" s="223"/>
      <c r="J4" s="223"/>
      <c r="K4" s="223"/>
      <c r="L4" s="226">
        <f>IF(ISNUMBER(FunctionList!E6),MAX(0,ROUNDUP(C4*FunctionList!E6/1000,0)-O7),"N/A")</f>
        <v>0</v>
      </c>
      <c r="M4" s="226"/>
      <c r="N4" s="226"/>
      <c r="O4" s="226"/>
    </row>
    <row r="5" spans="1:15" ht="63.9" customHeight="1" x14ac:dyDescent="0.2">
      <c r="A5" s="221" t="s">
        <v>573</v>
      </c>
      <c r="B5" s="221"/>
      <c r="C5" s="227" t="s">
        <v>574</v>
      </c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</row>
    <row r="6" spans="1:15" ht="27.6" customHeight="1" x14ac:dyDescent="0.2">
      <c r="A6" s="223" t="s">
        <v>551</v>
      </c>
      <c r="B6" s="223"/>
      <c r="C6" s="223" t="s">
        <v>552</v>
      </c>
      <c r="D6" s="223"/>
      <c r="E6" s="223"/>
      <c r="F6" s="223" t="s">
        <v>553</v>
      </c>
      <c r="G6" s="223"/>
      <c r="H6" s="223"/>
      <c r="I6" s="223"/>
      <c r="J6" s="223"/>
      <c r="K6" s="223"/>
      <c r="L6" s="223" t="s">
        <v>575</v>
      </c>
      <c r="M6" s="223"/>
      <c r="N6" s="223"/>
      <c r="O6" s="125" t="s">
        <v>557</v>
      </c>
    </row>
    <row r="7" spans="1:15" ht="27.6" customHeight="1" x14ac:dyDescent="0.2">
      <c r="A7" s="226">
        <f>COUNTIF(F32:M32,"P")</f>
        <v>8</v>
      </c>
      <c r="B7" s="226"/>
      <c r="C7" s="226">
        <f>COUNTIF(F32:M32,"F")</f>
        <v>0</v>
      </c>
      <c r="D7" s="226"/>
      <c r="E7" s="226"/>
      <c r="F7" s="226">
        <f>O7-A7-C7</f>
        <v>0</v>
      </c>
      <c r="G7" s="226"/>
      <c r="H7" s="226"/>
      <c r="I7" s="226"/>
      <c r="J7" s="226"/>
      <c r="K7" s="226"/>
      <c r="L7" s="126">
        <f>COUNTIF(F31:M31,"N")</f>
        <v>0</v>
      </c>
      <c r="M7" s="126">
        <f>COUNTIF(F31:M31,"A")</f>
        <v>7</v>
      </c>
      <c r="N7" s="126">
        <f>COUNTIF(F31:M31,"B")</f>
        <v>1</v>
      </c>
      <c r="O7" s="126">
        <f>COUNTA(F9:M9)</f>
        <v>8</v>
      </c>
    </row>
    <row r="8" spans="1:15" ht="13.5" customHeight="1" x14ac:dyDescent="0.2">
      <c r="A8" s="123"/>
      <c r="B8" s="127"/>
      <c r="C8" s="123"/>
      <c r="D8" s="123"/>
      <c r="E8" s="123"/>
      <c r="F8" s="124"/>
      <c r="G8" s="124"/>
      <c r="H8" s="124"/>
      <c r="I8" s="124"/>
      <c r="J8" s="124"/>
      <c r="K8" s="124"/>
      <c r="L8" s="124"/>
      <c r="M8" s="124"/>
      <c r="N8" s="124"/>
      <c r="O8" s="124"/>
    </row>
    <row r="9" spans="1:15" ht="42" customHeight="1" x14ac:dyDescent="0.2">
      <c r="A9" s="128"/>
      <c r="B9" s="129"/>
      <c r="C9" s="129"/>
      <c r="D9" s="129"/>
      <c r="E9" s="129"/>
      <c r="F9" s="130" t="s">
        <v>576</v>
      </c>
      <c r="G9" s="130" t="s">
        <v>577</v>
      </c>
      <c r="H9" s="130" t="s">
        <v>578</v>
      </c>
      <c r="I9" s="130" t="s">
        <v>579</v>
      </c>
      <c r="J9" s="130" t="s">
        <v>580</v>
      </c>
      <c r="K9" s="130" t="s">
        <v>581</v>
      </c>
      <c r="L9" s="130" t="s">
        <v>582</v>
      </c>
      <c r="M9" s="130" t="s">
        <v>583</v>
      </c>
      <c r="N9" s="130"/>
      <c r="O9" s="130"/>
    </row>
    <row r="10" spans="1:15" ht="15.45" customHeight="1" x14ac:dyDescent="0.2">
      <c r="A10" s="131" t="s">
        <v>584</v>
      </c>
      <c r="B10" s="132" t="s">
        <v>585</v>
      </c>
      <c r="C10" s="133"/>
      <c r="D10" s="134"/>
      <c r="E10" s="135"/>
      <c r="F10" s="136"/>
      <c r="G10" s="136"/>
      <c r="H10" s="136"/>
      <c r="I10" s="136"/>
      <c r="J10" s="136"/>
      <c r="K10" s="136"/>
      <c r="L10" s="136"/>
      <c r="M10" s="136"/>
      <c r="N10" s="136"/>
      <c r="O10" s="136"/>
    </row>
    <row r="11" spans="1:15" ht="42.45" customHeight="1" x14ac:dyDescent="0.2">
      <c r="A11" s="137"/>
      <c r="B11" s="228" t="s">
        <v>88</v>
      </c>
      <c r="C11" s="228"/>
      <c r="D11" s="228"/>
      <c r="E11" s="228"/>
      <c r="F11" s="126" t="s">
        <v>586</v>
      </c>
      <c r="G11" s="126" t="s">
        <v>586</v>
      </c>
      <c r="H11" s="126" t="s">
        <v>586</v>
      </c>
      <c r="I11" s="126" t="s">
        <v>586</v>
      </c>
      <c r="J11" s="126" t="s">
        <v>586</v>
      </c>
      <c r="K11" s="126" t="s">
        <v>586</v>
      </c>
      <c r="L11" s="126" t="s">
        <v>586</v>
      </c>
      <c r="M11" s="126" t="s">
        <v>586</v>
      </c>
      <c r="N11" s="126" t="s">
        <v>586</v>
      </c>
      <c r="O11" s="126" t="s">
        <v>586</v>
      </c>
    </row>
    <row r="12" spans="1:15" ht="28.95" customHeight="1" x14ac:dyDescent="0.2">
      <c r="A12" s="137"/>
      <c r="B12" s="228" t="s">
        <v>587</v>
      </c>
      <c r="C12" s="228"/>
      <c r="D12" s="228"/>
      <c r="E12" s="228"/>
      <c r="F12" s="126" t="s">
        <v>586</v>
      </c>
      <c r="G12" s="126"/>
      <c r="H12" s="126"/>
      <c r="I12" s="126"/>
      <c r="J12" s="126"/>
      <c r="K12" s="126"/>
      <c r="L12" s="126"/>
      <c r="M12" s="126"/>
      <c r="N12" s="126"/>
      <c r="O12" s="126"/>
    </row>
    <row r="13" spans="1:15" ht="28.95" customHeight="1" x14ac:dyDescent="0.2">
      <c r="A13" s="137"/>
      <c r="B13" s="228" t="s">
        <v>588</v>
      </c>
      <c r="C13" s="228"/>
      <c r="D13" s="228"/>
      <c r="E13" s="228"/>
      <c r="F13" s="126"/>
      <c r="G13" s="126" t="s">
        <v>586</v>
      </c>
      <c r="H13" s="126"/>
      <c r="I13" s="126"/>
      <c r="J13" s="126"/>
      <c r="K13" s="126"/>
      <c r="L13" s="126"/>
      <c r="M13" s="126"/>
      <c r="N13" s="126"/>
      <c r="O13" s="126"/>
    </row>
    <row r="14" spans="1:15" ht="28.95" customHeight="1" x14ac:dyDescent="0.2">
      <c r="A14" s="137"/>
      <c r="B14" s="228" t="s">
        <v>589</v>
      </c>
      <c r="C14" s="228"/>
      <c r="D14" s="228"/>
      <c r="E14" s="228"/>
      <c r="F14" s="126"/>
      <c r="G14" s="126"/>
      <c r="H14" s="139" t="s">
        <v>586</v>
      </c>
      <c r="I14" s="126"/>
      <c r="J14" s="126"/>
      <c r="K14" s="126"/>
      <c r="L14" s="126"/>
      <c r="M14" s="126"/>
      <c r="N14" s="126"/>
      <c r="O14" s="126"/>
    </row>
    <row r="15" spans="1:15" ht="28.95" customHeight="1" x14ac:dyDescent="0.2">
      <c r="A15" s="137"/>
      <c r="B15" s="228" t="s">
        <v>590</v>
      </c>
      <c r="C15" s="228"/>
      <c r="D15" s="228"/>
      <c r="E15" s="228"/>
      <c r="F15" s="126"/>
      <c r="G15" s="126"/>
      <c r="H15" s="126"/>
      <c r="I15" s="140" t="s">
        <v>586</v>
      </c>
      <c r="J15" s="126"/>
      <c r="K15" s="126"/>
      <c r="L15" s="126"/>
      <c r="M15" s="126"/>
      <c r="N15" s="126"/>
      <c r="O15" s="126"/>
    </row>
    <row r="16" spans="1:15" ht="28.95" customHeight="1" x14ac:dyDescent="0.2">
      <c r="A16" s="137"/>
      <c r="B16" s="228" t="s">
        <v>591</v>
      </c>
      <c r="C16" s="228"/>
      <c r="D16" s="228"/>
      <c r="E16" s="228"/>
      <c r="F16" s="126"/>
      <c r="G16" s="126"/>
      <c r="H16" s="141"/>
      <c r="I16" s="126"/>
      <c r="J16" s="126" t="s">
        <v>586</v>
      </c>
      <c r="K16" s="126"/>
      <c r="L16" s="126"/>
      <c r="M16" s="126"/>
      <c r="N16" s="126"/>
      <c r="O16" s="126"/>
    </row>
    <row r="17" spans="1:15" ht="15.45" customHeight="1" x14ac:dyDescent="0.2">
      <c r="A17" s="137"/>
      <c r="B17" s="228" t="s">
        <v>592</v>
      </c>
      <c r="C17" s="228"/>
      <c r="D17" s="228"/>
      <c r="E17" s="228"/>
      <c r="F17" s="126"/>
      <c r="G17" s="126"/>
      <c r="H17" s="126"/>
      <c r="I17" s="126"/>
      <c r="J17" s="126"/>
      <c r="K17" s="126" t="s">
        <v>586</v>
      </c>
      <c r="L17" s="126"/>
      <c r="M17" s="126"/>
      <c r="N17" s="126"/>
      <c r="O17" s="126"/>
    </row>
    <row r="18" spans="1:15" ht="28.95" customHeight="1" x14ac:dyDescent="0.2">
      <c r="A18" s="137"/>
      <c r="B18" s="228" t="s">
        <v>593</v>
      </c>
      <c r="C18" s="228"/>
      <c r="D18" s="228"/>
      <c r="E18" s="228"/>
      <c r="F18" s="126"/>
      <c r="G18" s="126"/>
      <c r="H18" s="126"/>
      <c r="I18" s="126"/>
      <c r="J18" s="126"/>
      <c r="K18" s="126"/>
      <c r="L18" s="126" t="s">
        <v>586</v>
      </c>
      <c r="M18" s="126"/>
      <c r="N18" s="126"/>
      <c r="O18" s="126"/>
    </row>
    <row r="19" spans="1:15" ht="15.45" customHeight="1" x14ac:dyDescent="0.2">
      <c r="A19" s="137"/>
      <c r="B19" s="228" t="s">
        <v>594</v>
      </c>
      <c r="C19" s="228"/>
      <c r="D19" s="228"/>
      <c r="E19" s="228"/>
      <c r="F19" s="126"/>
      <c r="G19" s="126"/>
      <c r="H19" s="126"/>
      <c r="I19" s="126"/>
      <c r="J19" s="126"/>
      <c r="K19" s="126"/>
      <c r="L19" s="126"/>
      <c r="M19" s="126" t="s">
        <v>586</v>
      </c>
      <c r="N19" s="126"/>
      <c r="O19" s="126"/>
    </row>
    <row r="20" spans="1:15" ht="14.25" customHeight="1" x14ac:dyDescent="0.2">
      <c r="A20" s="137"/>
      <c r="B20" s="138"/>
      <c r="C20" s="142"/>
      <c r="D20" s="142"/>
      <c r="E20" s="142"/>
      <c r="F20" s="126"/>
      <c r="G20" s="126"/>
      <c r="H20" s="126"/>
      <c r="I20" s="126"/>
      <c r="J20" s="126"/>
      <c r="K20" s="126"/>
      <c r="L20" s="126"/>
      <c r="M20" s="126"/>
      <c r="N20" s="126"/>
      <c r="O20" s="126"/>
    </row>
    <row r="21" spans="1:15" ht="28.95" customHeight="1" x14ac:dyDescent="0.2">
      <c r="A21" s="131" t="s">
        <v>595</v>
      </c>
      <c r="B21" s="138" t="s">
        <v>596</v>
      </c>
      <c r="C21" s="143"/>
      <c r="D21" s="144"/>
      <c r="E21" s="135"/>
      <c r="F21" s="145"/>
      <c r="G21" s="145"/>
      <c r="H21" s="145"/>
      <c r="I21" s="145"/>
      <c r="J21" s="145"/>
      <c r="K21" s="145"/>
      <c r="L21" s="145"/>
      <c r="M21" s="145"/>
      <c r="N21" s="145"/>
      <c r="O21" s="145"/>
    </row>
    <row r="22" spans="1:15" ht="28.95" customHeight="1" x14ac:dyDescent="0.2">
      <c r="A22" s="137"/>
      <c r="B22" s="228" t="s">
        <v>597</v>
      </c>
      <c r="C22" s="228"/>
      <c r="D22" s="228"/>
      <c r="E22" s="228"/>
      <c r="F22" s="126" t="s">
        <v>586</v>
      </c>
      <c r="G22" s="126"/>
      <c r="H22" s="126"/>
      <c r="I22" s="126"/>
      <c r="J22" s="126"/>
      <c r="K22" s="141"/>
      <c r="L22" s="126"/>
      <c r="M22" s="126"/>
      <c r="N22" s="126"/>
      <c r="O22" s="126"/>
    </row>
    <row r="23" spans="1:15" ht="28.95" customHeight="1" x14ac:dyDescent="0.2">
      <c r="A23" s="137"/>
      <c r="B23" s="228" t="s">
        <v>598</v>
      </c>
      <c r="C23" s="228"/>
      <c r="D23" s="228"/>
      <c r="E23" s="228"/>
      <c r="F23" s="126"/>
      <c r="G23" s="126" t="s">
        <v>586</v>
      </c>
      <c r="H23" s="126"/>
      <c r="I23" s="126"/>
      <c r="J23" s="126"/>
      <c r="K23" s="126"/>
      <c r="L23" s="126"/>
      <c r="M23" s="126"/>
      <c r="N23" s="126"/>
      <c r="O23" s="126"/>
    </row>
    <row r="24" spans="1:15" ht="28.95" customHeight="1" x14ac:dyDescent="0.2">
      <c r="A24" s="137"/>
      <c r="B24" s="228" t="s">
        <v>599</v>
      </c>
      <c r="C24" s="228"/>
      <c r="D24" s="228"/>
      <c r="E24" s="228"/>
      <c r="F24" s="126"/>
      <c r="G24" s="126"/>
      <c r="H24" s="126" t="s">
        <v>586</v>
      </c>
      <c r="I24" s="126"/>
      <c r="J24" s="126"/>
      <c r="K24" s="126"/>
      <c r="L24" s="126"/>
      <c r="M24" s="126"/>
      <c r="N24" s="126"/>
      <c r="O24" s="126"/>
    </row>
    <row r="25" spans="1:15" ht="28.95" customHeight="1" x14ac:dyDescent="0.2">
      <c r="A25" s="137"/>
      <c r="B25" s="228" t="s">
        <v>600</v>
      </c>
      <c r="C25" s="228"/>
      <c r="D25" s="228"/>
      <c r="E25" s="228"/>
      <c r="F25" s="141"/>
      <c r="G25" s="126"/>
      <c r="H25" s="126"/>
      <c r="I25" s="126" t="s">
        <v>586</v>
      </c>
      <c r="J25" s="126"/>
      <c r="K25" s="126"/>
      <c r="L25" s="126"/>
      <c r="M25" s="126"/>
      <c r="N25" s="126"/>
      <c r="O25" s="126"/>
    </row>
    <row r="26" spans="1:15" ht="42.45" customHeight="1" x14ac:dyDescent="0.2">
      <c r="A26" s="137"/>
      <c r="B26" s="228" t="s">
        <v>601</v>
      </c>
      <c r="C26" s="228"/>
      <c r="D26" s="228"/>
      <c r="E26" s="228"/>
      <c r="F26" s="126"/>
      <c r="G26" s="126"/>
      <c r="H26" s="126"/>
      <c r="I26" s="126"/>
      <c r="J26" s="126" t="s">
        <v>586</v>
      </c>
      <c r="K26" s="126"/>
      <c r="L26" s="140"/>
      <c r="M26" s="126"/>
      <c r="N26" s="126"/>
      <c r="O26" s="126"/>
    </row>
    <row r="27" spans="1:15" ht="28.95" customHeight="1" x14ac:dyDescent="0.2">
      <c r="A27" s="137"/>
      <c r="B27" s="229" t="s">
        <v>602</v>
      </c>
      <c r="C27" s="229"/>
      <c r="D27" s="229"/>
      <c r="E27" s="229"/>
      <c r="F27" s="126"/>
      <c r="G27" s="126"/>
      <c r="H27" s="126"/>
      <c r="I27" s="126"/>
      <c r="J27" s="126"/>
      <c r="K27" s="126" t="s">
        <v>586</v>
      </c>
      <c r="L27" s="126"/>
      <c r="M27" s="126"/>
      <c r="N27" s="126"/>
      <c r="O27" s="126"/>
    </row>
    <row r="28" spans="1:15" ht="28.95" customHeight="1" x14ac:dyDescent="0.2">
      <c r="A28" s="137"/>
      <c r="B28" s="228" t="s">
        <v>603</v>
      </c>
      <c r="C28" s="228"/>
      <c r="D28" s="228"/>
      <c r="E28" s="228"/>
      <c r="F28" s="126"/>
      <c r="G28" s="126"/>
      <c r="H28" s="126"/>
      <c r="I28" s="141"/>
      <c r="J28" s="126"/>
      <c r="K28" s="126"/>
      <c r="L28" s="141" t="s">
        <v>586</v>
      </c>
      <c r="M28" s="126"/>
      <c r="N28" s="126"/>
      <c r="O28" s="126"/>
    </row>
    <row r="29" spans="1:15" ht="28.95" customHeight="1" x14ac:dyDescent="0.2">
      <c r="A29" s="137"/>
      <c r="B29" s="228" t="s">
        <v>604</v>
      </c>
      <c r="C29" s="228"/>
      <c r="D29" s="228"/>
      <c r="E29" s="228"/>
      <c r="F29" s="126"/>
      <c r="G29" s="126"/>
      <c r="H29" s="126"/>
      <c r="I29" s="126"/>
      <c r="J29" s="126"/>
      <c r="K29" s="126"/>
      <c r="L29" s="126"/>
      <c r="M29" s="126" t="s">
        <v>586</v>
      </c>
      <c r="N29" s="126"/>
      <c r="O29" s="126"/>
    </row>
    <row r="30" spans="1:15" ht="13.2" customHeight="1" x14ac:dyDescent="0.2">
      <c r="A30" s="137"/>
      <c r="B30" s="147"/>
      <c r="C30" s="143"/>
      <c r="D30" s="148"/>
      <c r="E30" s="135"/>
      <c r="F30" s="126"/>
      <c r="G30" s="126"/>
      <c r="H30" s="126"/>
      <c r="I30" s="126"/>
      <c r="J30" s="126"/>
      <c r="K30" s="126"/>
      <c r="L30" s="126"/>
      <c r="M30" s="126"/>
      <c r="N30" s="126"/>
      <c r="O30" s="126"/>
    </row>
    <row r="31" spans="1:15" ht="15.45" customHeight="1" x14ac:dyDescent="0.2">
      <c r="A31" s="131" t="s">
        <v>564</v>
      </c>
      <c r="B31" s="228" t="s">
        <v>605</v>
      </c>
      <c r="C31" s="228"/>
      <c r="D31" s="228"/>
      <c r="E31" s="135"/>
      <c r="F31" s="126" t="s">
        <v>555</v>
      </c>
      <c r="G31" s="126" t="s">
        <v>555</v>
      </c>
      <c r="H31" s="141" t="s">
        <v>556</v>
      </c>
      <c r="I31" s="126" t="s">
        <v>555</v>
      </c>
      <c r="J31" s="126" t="s">
        <v>555</v>
      </c>
      <c r="K31" s="126" t="s">
        <v>555</v>
      </c>
      <c r="L31" s="126" t="s">
        <v>555</v>
      </c>
      <c r="M31" s="126" t="s">
        <v>555</v>
      </c>
      <c r="N31" s="145"/>
      <c r="O31" s="145"/>
    </row>
    <row r="32" spans="1:15" ht="15.45" customHeight="1" x14ac:dyDescent="0.2">
      <c r="A32" s="137"/>
      <c r="B32" s="230" t="s">
        <v>606</v>
      </c>
      <c r="C32" s="230"/>
      <c r="D32" s="230"/>
      <c r="E32" s="149"/>
      <c r="F32" s="150" t="s">
        <v>607</v>
      </c>
      <c r="G32" s="150" t="s">
        <v>607</v>
      </c>
      <c r="H32" s="150" t="s">
        <v>607</v>
      </c>
      <c r="I32" s="126" t="s">
        <v>607</v>
      </c>
      <c r="J32" s="150" t="s">
        <v>607</v>
      </c>
      <c r="K32" s="150" t="s">
        <v>607</v>
      </c>
      <c r="L32" s="150" t="s">
        <v>607</v>
      </c>
      <c r="M32" s="126" t="s">
        <v>607</v>
      </c>
      <c r="N32" s="126"/>
      <c r="O32" s="150"/>
    </row>
    <row r="33" spans="1:15" ht="28.95" customHeight="1" x14ac:dyDescent="0.2">
      <c r="A33" s="137"/>
      <c r="B33" s="231" t="s">
        <v>608</v>
      </c>
      <c r="C33" s="231"/>
      <c r="D33" s="231"/>
      <c r="E33" s="135"/>
      <c r="F33" s="152" t="s">
        <v>609</v>
      </c>
      <c r="G33" s="152" t="s">
        <v>609</v>
      </c>
      <c r="H33" s="152" t="s">
        <v>609</v>
      </c>
      <c r="I33" s="153" t="s">
        <v>609</v>
      </c>
      <c r="J33" s="152" t="s">
        <v>609</v>
      </c>
      <c r="K33" s="152" t="s">
        <v>609</v>
      </c>
      <c r="L33" s="152" t="s">
        <v>609</v>
      </c>
      <c r="M33" s="153" t="s">
        <v>609</v>
      </c>
      <c r="N33" s="153"/>
      <c r="O33" s="152"/>
    </row>
    <row r="34" spans="1:15" ht="15.45" customHeight="1" x14ac:dyDescent="0.2">
      <c r="A34" s="137"/>
      <c r="B34" s="231" t="s">
        <v>610</v>
      </c>
      <c r="C34" s="231"/>
      <c r="D34" s="231"/>
      <c r="E34" s="135"/>
      <c r="F34" s="152"/>
      <c r="G34" s="152"/>
      <c r="H34" s="152"/>
      <c r="I34" s="153"/>
      <c r="J34" s="152"/>
      <c r="K34" s="152"/>
      <c r="L34" s="152"/>
      <c r="M34" s="153"/>
      <c r="N34" s="153"/>
      <c r="O34" s="152"/>
    </row>
  </sheetData>
  <autoFilter ref="F9:M34" xr:uid="{00000000-0009-0000-0000-000004000000}"/>
  <mergeCells count="41">
    <mergeCell ref="B34:D34"/>
    <mergeCell ref="B28:E28"/>
    <mergeCell ref="B29:E29"/>
    <mergeCell ref="B31:D31"/>
    <mergeCell ref="B32:D32"/>
    <mergeCell ref="B33:D33"/>
    <mergeCell ref="B23:E23"/>
    <mergeCell ref="B24:E24"/>
    <mergeCell ref="B25:E25"/>
    <mergeCell ref="B26:E26"/>
    <mergeCell ref="B27:E27"/>
    <mergeCell ref="B16:E16"/>
    <mergeCell ref="B17:E17"/>
    <mergeCell ref="B18:E18"/>
    <mergeCell ref="B19:E19"/>
    <mergeCell ref="B22:E22"/>
    <mergeCell ref="B11:E11"/>
    <mergeCell ref="B12:E12"/>
    <mergeCell ref="B13:E13"/>
    <mergeCell ref="B14:E14"/>
    <mergeCell ref="B15:E15"/>
    <mergeCell ref="A6:B6"/>
    <mergeCell ref="C6:E6"/>
    <mergeCell ref="F6:K6"/>
    <mergeCell ref="L6:N6"/>
    <mergeCell ref="A7:B7"/>
    <mergeCell ref="C7:E7"/>
    <mergeCell ref="F7:K7"/>
    <mergeCell ref="A4:E4"/>
    <mergeCell ref="F4:K4"/>
    <mergeCell ref="L4:O4"/>
    <mergeCell ref="A5:B5"/>
    <mergeCell ref="C5:O5"/>
    <mergeCell ref="A2:B2"/>
    <mergeCell ref="C2:E2"/>
    <mergeCell ref="F2:K2"/>
    <mergeCell ref="L2:O2"/>
    <mergeCell ref="A3:B3"/>
    <mergeCell ref="C3:E3"/>
    <mergeCell ref="F3:K3"/>
    <mergeCell ref="L3:O3"/>
  </mergeCells>
  <pageMargins left="0.25" right="0.25" top="1" bottom="1" header="0.5" footer="0.5"/>
  <pageSetup fitToHeight="0" orientation="portrait" useFirstPageNumber="1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A62"/>
  <sheetViews>
    <sheetView zoomScale="85" zoomScaleNormal="100" workbookViewId="0">
      <pane xSplit="5" ySplit="9" topLeftCell="F12" activePane="bottomRight" state="frozen"/>
      <selection pane="topRight"/>
      <selection pane="bottomLeft"/>
      <selection pane="bottomRight" activeCell="B57" sqref="B57"/>
    </sheetView>
  </sheetViews>
  <sheetFormatPr defaultRowHeight="13.5" customHeight="1" x14ac:dyDescent="0.2"/>
  <cols>
    <col min="1" max="1" width="11" customWidth="1"/>
    <col min="2" max="2" width="15" customWidth="1"/>
    <col min="3" max="3" width="20" customWidth="1"/>
    <col min="4" max="5" width="13" customWidth="1"/>
    <col min="6" max="6" width="10" customWidth="1"/>
    <col min="7" max="27" width="13" customWidth="1"/>
    <col min="28" max="90" width="8.33203125" customWidth="1"/>
  </cols>
  <sheetData>
    <row r="1" spans="1:27" ht="13.5" customHeight="1" x14ac:dyDescent="0.2">
      <c r="A1" s="121"/>
      <c r="B1" s="122"/>
      <c r="C1" s="123"/>
      <c r="D1" s="123"/>
      <c r="E1" s="123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</row>
    <row r="2" spans="1:27" ht="27.9" customHeight="1" x14ac:dyDescent="0.2">
      <c r="A2" s="221" t="s">
        <v>568</v>
      </c>
      <c r="B2" s="221"/>
      <c r="C2" s="222" t="s">
        <v>91</v>
      </c>
      <c r="D2" s="222"/>
      <c r="E2" s="222"/>
      <c r="F2" s="223" t="s">
        <v>78</v>
      </c>
      <c r="G2" s="223"/>
      <c r="H2" s="223"/>
      <c r="I2" s="223"/>
      <c r="J2" s="223"/>
      <c r="K2" s="223"/>
      <c r="L2" s="224" t="str">
        <f>FunctionList!D12</f>
        <v>See the per-case source map in the evidence document</v>
      </c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4"/>
      <c r="Z2" s="224"/>
      <c r="AA2" s="224"/>
    </row>
    <row r="3" spans="1:27" ht="27.9" customHeight="1" x14ac:dyDescent="0.2">
      <c r="A3" s="221" t="s">
        <v>569</v>
      </c>
      <c r="B3" s="221"/>
      <c r="C3" s="222" t="s">
        <v>49</v>
      </c>
      <c r="D3" s="222"/>
      <c r="E3" s="222"/>
      <c r="F3" s="223" t="s">
        <v>570</v>
      </c>
      <c r="G3" s="223"/>
      <c r="H3" s="223"/>
      <c r="I3" s="223"/>
      <c r="J3" s="223"/>
      <c r="K3" s="223"/>
      <c r="L3" s="225"/>
      <c r="M3" s="225"/>
      <c r="N3" s="225"/>
      <c r="O3" s="225"/>
      <c r="P3" s="225"/>
      <c r="Q3" s="225"/>
      <c r="R3" s="225"/>
      <c r="S3" s="225"/>
      <c r="T3" s="225"/>
      <c r="U3" s="225"/>
      <c r="V3" s="225"/>
      <c r="W3" s="225"/>
      <c r="X3" s="225"/>
      <c r="Y3" s="225"/>
      <c r="Z3" s="225"/>
      <c r="AA3" s="225"/>
    </row>
    <row r="4" spans="1:27" ht="27.9" customHeight="1" x14ac:dyDescent="0.2">
      <c r="A4" s="221" t="s">
        <v>571</v>
      </c>
      <c r="B4" s="221"/>
      <c r="C4" s="221"/>
      <c r="D4" s="221"/>
      <c r="E4" s="221"/>
      <c r="F4" s="223" t="s">
        <v>572</v>
      </c>
      <c r="G4" s="223"/>
      <c r="H4" s="223"/>
      <c r="I4" s="223"/>
      <c r="J4" s="223"/>
      <c r="K4" s="223"/>
      <c r="L4" s="226">
        <f>IF(ISNUMBER(FunctionList!E6),MAX(0,ROUNDUP(C4*FunctionList!E6/1000,0)-O7),"N/A")</f>
        <v>0</v>
      </c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  <c r="X4" s="226"/>
      <c r="Y4" s="226"/>
      <c r="Z4" s="226"/>
      <c r="AA4" s="226"/>
    </row>
    <row r="5" spans="1:27" ht="63.9" customHeight="1" x14ac:dyDescent="0.2">
      <c r="A5" s="221" t="s">
        <v>573</v>
      </c>
      <c r="B5" s="221"/>
      <c r="C5" s="227" t="s">
        <v>611</v>
      </c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7"/>
      <c r="X5" s="227"/>
      <c r="Y5" s="227"/>
      <c r="Z5" s="227"/>
      <c r="AA5" s="227"/>
    </row>
    <row r="6" spans="1:27" ht="27.9" customHeight="1" x14ac:dyDescent="0.2">
      <c r="A6" s="223" t="s">
        <v>551</v>
      </c>
      <c r="B6" s="223"/>
      <c r="C6" s="223" t="s">
        <v>552</v>
      </c>
      <c r="D6" s="223"/>
      <c r="E6" s="223"/>
      <c r="F6" s="223" t="s">
        <v>553</v>
      </c>
      <c r="G6" s="223"/>
      <c r="H6" s="223"/>
      <c r="I6" s="223"/>
      <c r="J6" s="223"/>
      <c r="K6" s="223"/>
      <c r="L6" s="223" t="s">
        <v>575</v>
      </c>
      <c r="M6" s="223"/>
      <c r="N6" s="223"/>
      <c r="O6" s="223" t="s">
        <v>557</v>
      </c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</row>
    <row r="7" spans="1:27" ht="27.9" customHeight="1" x14ac:dyDescent="0.2">
      <c r="A7" s="226">
        <f>COUNTIF(F60:AA60,"P")</f>
        <v>22</v>
      </c>
      <c r="B7" s="226"/>
      <c r="C7" s="226">
        <f>COUNTIF(F60:AA60,"F")</f>
        <v>0</v>
      </c>
      <c r="D7" s="226"/>
      <c r="E7" s="226"/>
      <c r="F7" s="226">
        <f>O7-A7-C7</f>
        <v>0</v>
      </c>
      <c r="G7" s="226"/>
      <c r="H7" s="226"/>
      <c r="I7" s="226"/>
      <c r="J7" s="226"/>
      <c r="K7" s="226"/>
      <c r="L7" s="126">
        <f>COUNTIF(F59:AA59,"N")</f>
        <v>14</v>
      </c>
      <c r="M7" s="126">
        <f>COUNTIF(F59:AA59,"A")</f>
        <v>7</v>
      </c>
      <c r="N7" s="126">
        <f>COUNTIF(F59:AA59,"B")</f>
        <v>1</v>
      </c>
      <c r="O7" s="226">
        <f>COUNTA(F9:AA9)</f>
        <v>22</v>
      </c>
      <c r="P7" s="226"/>
      <c r="Q7" s="226"/>
      <c r="R7" s="226"/>
      <c r="S7" s="226"/>
      <c r="T7" s="226"/>
      <c r="U7" s="226"/>
      <c r="V7" s="226"/>
      <c r="W7" s="226"/>
      <c r="X7" s="226"/>
      <c r="Y7" s="226"/>
      <c r="Z7" s="226"/>
      <c r="AA7" s="226"/>
    </row>
    <row r="8" spans="1:27" ht="13.5" customHeight="1" x14ac:dyDescent="0.2">
      <c r="A8" s="123"/>
      <c r="B8" s="127"/>
      <c r="C8" s="123"/>
      <c r="D8" s="123"/>
      <c r="E8" s="123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4"/>
      <c r="R8" s="124"/>
      <c r="S8" s="124"/>
      <c r="T8" s="124"/>
      <c r="U8" s="124"/>
      <c r="V8" s="124"/>
      <c r="W8" s="124"/>
      <c r="X8" s="124"/>
      <c r="Y8" s="124"/>
      <c r="Z8" s="124"/>
      <c r="AA8" s="124"/>
    </row>
    <row r="9" spans="1:27" ht="42" customHeight="1" x14ac:dyDescent="0.2">
      <c r="A9" s="128"/>
      <c r="B9" s="129"/>
      <c r="C9" s="129"/>
      <c r="D9" s="129"/>
      <c r="E9" s="129"/>
      <c r="F9" s="130" t="s">
        <v>576</v>
      </c>
      <c r="G9" s="130" t="s">
        <v>577</v>
      </c>
      <c r="H9" s="130" t="s">
        <v>578</v>
      </c>
      <c r="I9" s="130" t="s">
        <v>579</v>
      </c>
      <c r="J9" s="130" t="s">
        <v>580</v>
      </c>
      <c r="K9" s="130" t="s">
        <v>581</v>
      </c>
      <c r="L9" s="130" t="s">
        <v>582</v>
      </c>
      <c r="M9" s="130" t="s">
        <v>583</v>
      </c>
      <c r="N9" s="130" t="s">
        <v>612</v>
      </c>
      <c r="O9" s="130" t="s">
        <v>613</v>
      </c>
      <c r="P9" s="130" t="s">
        <v>614</v>
      </c>
      <c r="Q9" s="130" t="s">
        <v>615</v>
      </c>
      <c r="R9" s="130" t="s">
        <v>616</v>
      </c>
      <c r="S9" s="130" t="s">
        <v>617</v>
      </c>
      <c r="T9" s="130" t="s">
        <v>618</v>
      </c>
      <c r="U9" s="130" t="s">
        <v>619</v>
      </c>
      <c r="V9" s="130" t="s">
        <v>620</v>
      </c>
      <c r="W9" s="130" t="s">
        <v>621</v>
      </c>
      <c r="X9" s="130" t="s">
        <v>622</v>
      </c>
      <c r="Y9" s="130" t="s">
        <v>623</v>
      </c>
      <c r="Z9" s="130" t="s">
        <v>624</v>
      </c>
      <c r="AA9" s="130" t="s">
        <v>625</v>
      </c>
    </row>
    <row r="10" spans="1:27" ht="15.45" customHeight="1" x14ac:dyDescent="0.2">
      <c r="A10" s="131" t="s">
        <v>584</v>
      </c>
      <c r="B10" s="132" t="s">
        <v>585</v>
      </c>
      <c r="C10" s="133"/>
      <c r="D10" s="134"/>
      <c r="E10" s="135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  <c r="R10" s="136"/>
      <c r="S10" s="136"/>
      <c r="T10" s="154"/>
      <c r="U10" s="154"/>
      <c r="V10" s="154"/>
      <c r="W10" s="154"/>
      <c r="X10" s="154"/>
      <c r="Y10" s="154"/>
      <c r="Z10" s="154"/>
      <c r="AA10" s="154"/>
    </row>
    <row r="11" spans="1:27" ht="42.45" customHeight="1" x14ac:dyDescent="0.2">
      <c r="A11" s="137"/>
      <c r="B11" s="228" t="s">
        <v>93</v>
      </c>
      <c r="C11" s="228"/>
      <c r="D11" s="228"/>
      <c r="E11" s="228"/>
      <c r="F11" s="126" t="s">
        <v>586</v>
      </c>
      <c r="G11" s="126" t="s">
        <v>586</v>
      </c>
      <c r="H11" s="126" t="s">
        <v>586</v>
      </c>
      <c r="I11" s="126" t="s">
        <v>586</v>
      </c>
      <c r="J11" s="126" t="s">
        <v>586</v>
      </c>
      <c r="K11" s="126" t="s">
        <v>586</v>
      </c>
      <c r="L11" s="126" t="s">
        <v>586</v>
      </c>
      <c r="M11" s="126" t="s">
        <v>586</v>
      </c>
      <c r="N11" s="126" t="s">
        <v>586</v>
      </c>
      <c r="O11" s="126" t="s">
        <v>586</v>
      </c>
      <c r="P11" s="126" t="s">
        <v>586</v>
      </c>
      <c r="Q11" s="126" t="s">
        <v>586</v>
      </c>
      <c r="R11" s="126" t="s">
        <v>586</v>
      </c>
      <c r="S11" s="126" t="s">
        <v>586</v>
      </c>
      <c r="T11" s="155" t="s">
        <v>586</v>
      </c>
      <c r="U11" s="155" t="s">
        <v>586</v>
      </c>
      <c r="V11" s="155" t="s">
        <v>586</v>
      </c>
      <c r="W11" s="155" t="s">
        <v>586</v>
      </c>
      <c r="X11" s="155" t="s">
        <v>586</v>
      </c>
      <c r="Y11" s="155" t="s">
        <v>586</v>
      </c>
      <c r="Z11" s="155" t="s">
        <v>586</v>
      </c>
      <c r="AA11" s="155" t="s">
        <v>586</v>
      </c>
    </row>
    <row r="12" spans="1:27" ht="15.45" customHeight="1" x14ac:dyDescent="0.2">
      <c r="A12" s="137"/>
      <c r="B12" s="228" t="s">
        <v>626</v>
      </c>
      <c r="C12" s="228"/>
      <c r="D12" s="228"/>
      <c r="E12" s="228"/>
      <c r="F12" s="126" t="s">
        <v>586</v>
      </c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  <c r="R12" s="126"/>
      <c r="S12" s="126"/>
      <c r="T12" s="155"/>
      <c r="U12" s="155"/>
      <c r="V12" s="155"/>
      <c r="W12" s="155"/>
      <c r="X12" s="155"/>
      <c r="Y12" s="155"/>
      <c r="Z12" s="155"/>
      <c r="AA12" s="155"/>
    </row>
    <row r="13" spans="1:27" ht="15.45" customHeight="1" x14ac:dyDescent="0.2">
      <c r="A13" s="137"/>
      <c r="B13" s="228" t="s">
        <v>627</v>
      </c>
      <c r="C13" s="228"/>
      <c r="D13" s="228"/>
      <c r="E13" s="228"/>
      <c r="F13" s="126"/>
      <c r="G13" s="126" t="s">
        <v>586</v>
      </c>
      <c r="H13" s="126"/>
      <c r="I13" s="126"/>
      <c r="J13" s="126"/>
      <c r="K13" s="126"/>
      <c r="L13" s="126"/>
      <c r="M13" s="126"/>
      <c r="N13" s="126"/>
      <c r="O13" s="126"/>
      <c r="P13" s="126"/>
      <c r="Q13" s="126"/>
      <c r="R13" s="126"/>
      <c r="S13" s="126"/>
      <c r="T13" s="155"/>
      <c r="U13" s="155"/>
      <c r="V13" s="155"/>
      <c r="W13" s="155"/>
      <c r="X13" s="155"/>
      <c r="Y13" s="155"/>
      <c r="Z13" s="155"/>
      <c r="AA13" s="155"/>
    </row>
    <row r="14" spans="1:27" ht="15.45" customHeight="1" x14ac:dyDescent="0.2">
      <c r="A14" s="137"/>
      <c r="B14" s="228" t="s">
        <v>628</v>
      </c>
      <c r="C14" s="228"/>
      <c r="D14" s="228"/>
      <c r="E14" s="228"/>
      <c r="F14" s="126"/>
      <c r="G14" s="126"/>
      <c r="H14" s="139" t="s">
        <v>586</v>
      </c>
      <c r="I14" s="126"/>
      <c r="J14" s="126"/>
      <c r="K14" s="126"/>
      <c r="L14" s="126"/>
      <c r="M14" s="126"/>
      <c r="N14" s="126"/>
      <c r="O14" s="126"/>
      <c r="P14" s="126"/>
      <c r="Q14" s="126"/>
      <c r="R14" s="126"/>
      <c r="S14" s="126"/>
      <c r="T14" s="155"/>
      <c r="U14" s="155"/>
      <c r="V14" s="155"/>
      <c r="W14" s="155"/>
      <c r="X14" s="155"/>
      <c r="Y14" s="155"/>
      <c r="Z14" s="155"/>
      <c r="AA14" s="155"/>
    </row>
    <row r="15" spans="1:27" ht="15.45" customHeight="1" x14ac:dyDescent="0.2">
      <c r="A15" s="137"/>
      <c r="B15" s="228" t="s">
        <v>629</v>
      </c>
      <c r="C15" s="228"/>
      <c r="D15" s="228"/>
      <c r="E15" s="228"/>
      <c r="F15" s="126"/>
      <c r="G15" s="126"/>
      <c r="H15" s="126"/>
      <c r="I15" s="140" t="s">
        <v>586</v>
      </c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55"/>
      <c r="U15" s="155"/>
      <c r="V15" s="155"/>
      <c r="W15" s="155"/>
      <c r="X15" s="155"/>
      <c r="Y15" s="155"/>
      <c r="Z15" s="155"/>
      <c r="AA15" s="155"/>
    </row>
    <row r="16" spans="1:27" ht="15.45" customHeight="1" x14ac:dyDescent="0.2">
      <c r="A16" s="137"/>
      <c r="B16" s="228" t="s">
        <v>630</v>
      </c>
      <c r="C16" s="228"/>
      <c r="D16" s="228"/>
      <c r="E16" s="228"/>
      <c r="F16" s="126"/>
      <c r="G16" s="126"/>
      <c r="H16" s="141"/>
      <c r="I16" s="126"/>
      <c r="J16" s="126" t="s">
        <v>586</v>
      </c>
      <c r="K16" s="126"/>
      <c r="L16" s="126"/>
      <c r="M16" s="126"/>
      <c r="N16" s="126"/>
      <c r="O16" s="126"/>
      <c r="P16" s="126"/>
      <c r="Q16" s="126"/>
      <c r="R16" s="126"/>
      <c r="S16" s="126"/>
      <c r="T16" s="155"/>
      <c r="U16" s="155"/>
      <c r="V16" s="155"/>
      <c r="W16" s="155"/>
      <c r="X16" s="155"/>
      <c r="Y16" s="155"/>
      <c r="Z16" s="155"/>
      <c r="AA16" s="155"/>
    </row>
    <row r="17" spans="1:27" ht="15.45" customHeight="1" x14ac:dyDescent="0.2">
      <c r="A17" s="137"/>
      <c r="B17" s="228" t="s">
        <v>631</v>
      </c>
      <c r="C17" s="228"/>
      <c r="D17" s="228"/>
      <c r="E17" s="228"/>
      <c r="F17" s="126"/>
      <c r="G17" s="126"/>
      <c r="H17" s="126"/>
      <c r="I17" s="126"/>
      <c r="J17" s="126"/>
      <c r="K17" s="126" t="s">
        <v>586</v>
      </c>
      <c r="L17" s="126"/>
      <c r="M17" s="126"/>
      <c r="N17" s="126"/>
      <c r="O17" s="126"/>
      <c r="P17" s="126"/>
      <c r="Q17" s="126"/>
      <c r="R17" s="126"/>
      <c r="S17" s="126"/>
      <c r="T17" s="155"/>
      <c r="U17" s="155"/>
      <c r="V17" s="155"/>
      <c r="W17" s="155"/>
      <c r="X17" s="155"/>
      <c r="Y17" s="155"/>
      <c r="Z17" s="155"/>
      <c r="AA17" s="155"/>
    </row>
    <row r="18" spans="1:27" ht="15.45" customHeight="1" x14ac:dyDescent="0.2">
      <c r="A18" s="137"/>
      <c r="B18" s="228" t="s">
        <v>632</v>
      </c>
      <c r="C18" s="228"/>
      <c r="D18" s="228"/>
      <c r="E18" s="228"/>
      <c r="F18" s="126"/>
      <c r="G18" s="126"/>
      <c r="H18" s="126"/>
      <c r="I18" s="126"/>
      <c r="J18" s="126"/>
      <c r="K18" s="126"/>
      <c r="L18" s="126" t="s">
        <v>586</v>
      </c>
      <c r="M18" s="126"/>
      <c r="N18" s="126"/>
      <c r="O18" s="126"/>
      <c r="P18" s="126"/>
      <c r="Q18" s="126"/>
      <c r="R18" s="126"/>
      <c r="S18" s="126"/>
      <c r="T18" s="155"/>
      <c r="U18" s="155"/>
      <c r="V18" s="155"/>
      <c r="W18" s="155"/>
      <c r="X18" s="155"/>
      <c r="Y18" s="155"/>
      <c r="Z18" s="155"/>
      <c r="AA18" s="155"/>
    </row>
    <row r="19" spans="1:27" ht="15.45" customHeight="1" x14ac:dyDescent="0.2">
      <c r="A19" s="137"/>
      <c r="B19" s="228" t="s">
        <v>633</v>
      </c>
      <c r="C19" s="228"/>
      <c r="D19" s="228"/>
      <c r="E19" s="228"/>
      <c r="F19" s="126"/>
      <c r="G19" s="126"/>
      <c r="H19" s="126"/>
      <c r="I19" s="126"/>
      <c r="J19" s="126"/>
      <c r="K19" s="126"/>
      <c r="L19" s="126"/>
      <c r="M19" s="126" t="s">
        <v>586</v>
      </c>
      <c r="N19" s="126"/>
      <c r="O19" s="126"/>
      <c r="P19" s="126"/>
      <c r="Q19" s="126"/>
      <c r="R19" s="126"/>
      <c r="S19" s="126"/>
      <c r="T19" s="155"/>
      <c r="U19" s="155"/>
      <c r="V19" s="155"/>
      <c r="W19" s="155"/>
      <c r="X19" s="155"/>
      <c r="Y19" s="155"/>
      <c r="Z19" s="155"/>
      <c r="AA19" s="155"/>
    </row>
    <row r="20" spans="1:27" ht="15.45" customHeight="1" x14ac:dyDescent="0.2">
      <c r="A20" s="137"/>
      <c r="B20" s="228" t="s">
        <v>634</v>
      </c>
      <c r="C20" s="228"/>
      <c r="D20" s="228"/>
      <c r="E20" s="228"/>
      <c r="F20" s="126"/>
      <c r="G20" s="126"/>
      <c r="H20" s="126"/>
      <c r="I20" s="126"/>
      <c r="J20" s="126"/>
      <c r="K20" s="126"/>
      <c r="L20" s="126"/>
      <c r="M20" s="126"/>
      <c r="N20" s="126" t="s">
        <v>586</v>
      </c>
      <c r="O20" s="126"/>
      <c r="P20" s="126"/>
      <c r="Q20" s="126"/>
      <c r="R20" s="126"/>
      <c r="S20" s="126"/>
      <c r="T20" s="155"/>
      <c r="U20" s="155"/>
      <c r="V20" s="155"/>
      <c r="W20" s="155"/>
      <c r="X20" s="155"/>
      <c r="Y20" s="155"/>
      <c r="Z20" s="155"/>
      <c r="AA20" s="155"/>
    </row>
    <row r="21" spans="1:27" ht="15.45" customHeight="1" x14ac:dyDescent="0.2">
      <c r="A21" s="137"/>
      <c r="B21" s="228" t="s">
        <v>635</v>
      </c>
      <c r="C21" s="228"/>
      <c r="D21" s="228"/>
      <c r="E21" s="228"/>
      <c r="F21" s="126"/>
      <c r="G21" s="126"/>
      <c r="H21" s="126"/>
      <c r="I21" s="126"/>
      <c r="J21" s="126"/>
      <c r="K21" s="126"/>
      <c r="L21" s="126"/>
      <c r="M21" s="126"/>
      <c r="N21" s="126"/>
      <c r="O21" s="126" t="s">
        <v>586</v>
      </c>
      <c r="P21" s="126"/>
      <c r="Q21" s="126"/>
      <c r="R21" s="126"/>
      <c r="S21" s="126"/>
      <c r="T21" s="155"/>
      <c r="U21" s="155"/>
      <c r="V21" s="155"/>
      <c r="W21" s="155"/>
      <c r="X21" s="155"/>
      <c r="Y21" s="155"/>
      <c r="Z21" s="155"/>
      <c r="AA21" s="155"/>
    </row>
    <row r="22" spans="1:27" ht="15.45" customHeight="1" x14ac:dyDescent="0.2">
      <c r="A22" s="137"/>
      <c r="B22" s="228" t="s">
        <v>636</v>
      </c>
      <c r="C22" s="228"/>
      <c r="D22" s="228"/>
      <c r="E22" s="228"/>
      <c r="F22" s="126"/>
      <c r="G22" s="126"/>
      <c r="H22" s="126"/>
      <c r="I22" s="126"/>
      <c r="J22" s="126"/>
      <c r="K22" s="141"/>
      <c r="L22" s="126"/>
      <c r="M22" s="126"/>
      <c r="N22" s="126"/>
      <c r="O22" s="126"/>
      <c r="P22" s="126" t="s">
        <v>586</v>
      </c>
      <c r="Q22" s="126"/>
      <c r="R22" s="126"/>
      <c r="S22" s="126"/>
      <c r="T22" s="155"/>
      <c r="U22" s="155"/>
      <c r="V22" s="155"/>
      <c r="W22" s="155"/>
      <c r="X22" s="155"/>
      <c r="Y22" s="155"/>
      <c r="Z22" s="155"/>
      <c r="AA22" s="155"/>
    </row>
    <row r="23" spans="1:27" ht="15.45" customHeight="1" x14ac:dyDescent="0.2">
      <c r="A23" s="137"/>
      <c r="B23" s="228" t="s">
        <v>637</v>
      </c>
      <c r="C23" s="228"/>
      <c r="D23" s="228"/>
      <c r="E23" s="228"/>
      <c r="F23" s="126"/>
      <c r="G23" s="126"/>
      <c r="H23" s="126"/>
      <c r="I23" s="126"/>
      <c r="J23" s="126"/>
      <c r="K23" s="126"/>
      <c r="L23" s="126"/>
      <c r="M23" s="126"/>
      <c r="N23" s="126"/>
      <c r="O23" s="126"/>
      <c r="P23" s="126"/>
      <c r="Q23" s="126" t="s">
        <v>586</v>
      </c>
      <c r="R23" s="126"/>
      <c r="S23" s="126"/>
      <c r="T23" s="155"/>
      <c r="U23" s="155"/>
      <c r="V23" s="155"/>
      <c r="W23" s="155"/>
      <c r="X23" s="155"/>
      <c r="Y23" s="155"/>
      <c r="Z23" s="155"/>
      <c r="AA23" s="155"/>
    </row>
    <row r="24" spans="1:27" ht="15.45" customHeight="1" x14ac:dyDescent="0.2">
      <c r="A24" s="137"/>
      <c r="B24" s="228" t="s">
        <v>638</v>
      </c>
      <c r="C24" s="228"/>
      <c r="D24" s="228"/>
      <c r="E24" s="228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 t="s">
        <v>586</v>
      </c>
      <c r="S24" s="126"/>
      <c r="T24" s="155"/>
      <c r="U24" s="155"/>
      <c r="V24" s="155"/>
      <c r="W24" s="155"/>
      <c r="X24" s="155"/>
      <c r="Y24" s="155"/>
      <c r="Z24" s="155"/>
      <c r="AA24" s="155"/>
    </row>
    <row r="25" spans="1:27" ht="15.45" customHeight="1" x14ac:dyDescent="0.2">
      <c r="A25" s="137"/>
      <c r="B25" s="228" t="s">
        <v>639</v>
      </c>
      <c r="C25" s="228"/>
      <c r="D25" s="228"/>
      <c r="E25" s="228"/>
      <c r="F25" s="141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 t="s">
        <v>586</v>
      </c>
      <c r="T25" s="155"/>
      <c r="U25" s="155"/>
      <c r="V25" s="155"/>
      <c r="W25" s="155"/>
      <c r="X25" s="155"/>
      <c r="Y25" s="155"/>
      <c r="Z25" s="155"/>
      <c r="AA25" s="155"/>
    </row>
    <row r="26" spans="1:27" ht="28.95" customHeight="1" x14ac:dyDescent="0.2">
      <c r="A26" s="137"/>
      <c r="B26" s="228" t="s">
        <v>640</v>
      </c>
      <c r="C26" s="228"/>
      <c r="D26" s="228"/>
      <c r="E26" s="228"/>
      <c r="F26" s="126"/>
      <c r="G26" s="126"/>
      <c r="H26" s="126"/>
      <c r="I26" s="126"/>
      <c r="J26" s="126"/>
      <c r="K26" s="126"/>
      <c r="L26" s="140"/>
      <c r="M26" s="126"/>
      <c r="N26" s="126"/>
      <c r="O26" s="126"/>
      <c r="P26" s="126"/>
      <c r="Q26" s="126"/>
      <c r="R26" s="126"/>
      <c r="S26" s="126"/>
      <c r="T26" s="155" t="s">
        <v>586</v>
      </c>
      <c r="U26" s="155"/>
      <c r="V26" s="155"/>
      <c r="W26" s="155"/>
      <c r="X26" s="155"/>
      <c r="Y26" s="155"/>
      <c r="Z26" s="155"/>
      <c r="AA26" s="155"/>
    </row>
    <row r="27" spans="1:27" ht="15.45" customHeight="1" x14ac:dyDescent="0.2">
      <c r="A27" s="137"/>
      <c r="B27" s="229" t="s">
        <v>641</v>
      </c>
      <c r="C27" s="229"/>
      <c r="D27" s="229"/>
      <c r="E27" s="229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55"/>
      <c r="U27" s="155" t="s">
        <v>586</v>
      </c>
      <c r="V27" s="155"/>
      <c r="W27" s="155"/>
      <c r="X27" s="155"/>
      <c r="Y27" s="155"/>
      <c r="Z27" s="155"/>
      <c r="AA27" s="155"/>
    </row>
    <row r="28" spans="1:27" ht="15.45" customHeight="1" x14ac:dyDescent="0.2">
      <c r="A28" s="137"/>
      <c r="B28" s="228" t="s">
        <v>642</v>
      </c>
      <c r="C28" s="228"/>
      <c r="D28" s="228"/>
      <c r="E28" s="228"/>
      <c r="F28" s="126"/>
      <c r="G28" s="126"/>
      <c r="H28" s="126"/>
      <c r="I28" s="141"/>
      <c r="J28" s="126"/>
      <c r="K28" s="126"/>
      <c r="L28" s="141"/>
      <c r="M28" s="126"/>
      <c r="N28" s="126"/>
      <c r="O28" s="126"/>
      <c r="P28" s="126"/>
      <c r="Q28" s="126"/>
      <c r="R28" s="126"/>
      <c r="S28" s="126"/>
      <c r="T28" s="155"/>
      <c r="U28" s="155"/>
      <c r="V28" s="155" t="s">
        <v>586</v>
      </c>
      <c r="W28" s="155"/>
      <c r="X28" s="155"/>
      <c r="Y28" s="155"/>
      <c r="Z28" s="155"/>
      <c r="AA28" s="155"/>
    </row>
    <row r="29" spans="1:27" ht="15.45" customHeight="1" x14ac:dyDescent="0.2">
      <c r="A29" s="137"/>
      <c r="B29" s="228" t="s">
        <v>643</v>
      </c>
      <c r="C29" s="228"/>
      <c r="D29" s="228"/>
      <c r="E29" s="228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55"/>
      <c r="U29" s="155"/>
      <c r="V29" s="155"/>
      <c r="W29" s="155" t="s">
        <v>586</v>
      </c>
      <c r="X29" s="155"/>
      <c r="Y29" s="155"/>
      <c r="Z29" s="155"/>
      <c r="AA29" s="155"/>
    </row>
    <row r="30" spans="1:27" ht="15.45" customHeight="1" x14ac:dyDescent="0.2">
      <c r="A30" s="137"/>
      <c r="B30" s="232" t="s">
        <v>644</v>
      </c>
      <c r="C30" s="232"/>
      <c r="D30" s="232"/>
      <c r="E30" s="232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55"/>
      <c r="U30" s="155"/>
      <c r="V30" s="155"/>
      <c r="W30" s="155"/>
      <c r="X30" s="155" t="s">
        <v>586</v>
      </c>
      <c r="Y30" s="155"/>
      <c r="Z30" s="155"/>
      <c r="AA30" s="155"/>
    </row>
    <row r="31" spans="1:27" ht="28.95" customHeight="1" x14ac:dyDescent="0.2">
      <c r="A31" s="137"/>
      <c r="B31" s="228" t="s">
        <v>645</v>
      </c>
      <c r="C31" s="228"/>
      <c r="D31" s="228"/>
      <c r="E31" s="228"/>
      <c r="F31" s="126"/>
      <c r="G31" s="126"/>
      <c r="H31" s="141"/>
      <c r="I31" s="126"/>
      <c r="J31" s="126"/>
      <c r="K31" s="126"/>
      <c r="L31" s="126"/>
      <c r="M31" s="126"/>
      <c r="N31" s="126"/>
      <c r="O31" s="126"/>
      <c r="P31" s="126"/>
      <c r="Q31" s="126"/>
      <c r="R31" s="126"/>
      <c r="S31" s="126"/>
      <c r="T31" s="155"/>
      <c r="U31" s="155"/>
      <c r="V31" s="155"/>
      <c r="W31" s="155"/>
      <c r="X31" s="155"/>
      <c r="Y31" s="155" t="s">
        <v>586</v>
      </c>
      <c r="Z31" s="155"/>
      <c r="AA31" s="155"/>
    </row>
    <row r="32" spans="1:27" ht="28.95" customHeight="1" x14ac:dyDescent="0.2">
      <c r="A32" s="137"/>
      <c r="B32" s="230" t="s">
        <v>646</v>
      </c>
      <c r="C32" s="230"/>
      <c r="D32" s="230"/>
      <c r="E32" s="230"/>
      <c r="F32" s="150"/>
      <c r="G32" s="150"/>
      <c r="H32" s="150"/>
      <c r="I32" s="126"/>
      <c r="J32" s="150"/>
      <c r="K32" s="150"/>
      <c r="L32" s="150"/>
      <c r="M32" s="126"/>
      <c r="N32" s="126"/>
      <c r="O32" s="150"/>
      <c r="P32" s="150"/>
      <c r="Q32" s="150"/>
      <c r="R32" s="150"/>
      <c r="S32" s="150"/>
      <c r="T32" s="156"/>
      <c r="U32" s="156"/>
      <c r="V32" s="156"/>
      <c r="W32" s="156"/>
      <c r="X32" s="156"/>
      <c r="Y32" s="156"/>
      <c r="Z32" s="156" t="s">
        <v>586</v>
      </c>
      <c r="AA32" s="156"/>
    </row>
    <row r="33" spans="1:27" ht="28.95" customHeight="1" x14ac:dyDescent="0.2">
      <c r="A33" s="137"/>
      <c r="B33" s="231" t="s">
        <v>647</v>
      </c>
      <c r="C33" s="231"/>
      <c r="D33" s="231"/>
      <c r="E33" s="231"/>
      <c r="F33" s="152"/>
      <c r="G33" s="152"/>
      <c r="H33" s="152"/>
      <c r="I33" s="153"/>
      <c r="J33" s="152"/>
      <c r="K33" s="152"/>
      <c r="L33" s="152"/>
      <c r="M33" s="153"/>
      <c r="N33" s="153"/>
      <c r="O33" s="152"/>
      <c r="P33" s="152"/>
      <c r="Q33" s="152"/>
      <c r="R33" s="152"/>
      <c r="S33" s="152"/>
      <c r="T33" s="157"/>
      <c r="U33" s="157"/>
      <c r="V33" s="157"/>
      <c r="W33" s="157"/>
      <c r="X33" s="157"/>
      <c r="Y33" s="157"/>
      <c r="Z33" s="157"/>
      <c r="AA33" s="157" t="s">
        <v>586</v>
      </c>
    </row>
    <row r="34" spans="1:27" ht="13.2" customHeight="1" x14ac:dyDescent="0.2">
      <c r="A34" s="137"/>
      <c r="B34" s="151"/>
      <c r="C34" s="135"/>
      <c r="D34" s="158"/>
      <c r="E34" s="135"/>
      <c r="F34" s="152"/>
      <c r="G34" s="152"/>
      <c r="H34" s="152"/>
      <c r="I34" s="153"/>
      <c r="J34" s="152"/>
      <c r="K34" s="152"/>
      <c r="L34" s="152"/>
      <c r="M34" s="153"/>
      <c r="N34" s="153"/>
      <c r="O34" s="152"/>
      <c r="P34" s="152"/>
      <c r="Q34" s="152"/>
      <c r="R34" s="152"/>
      <c r="S34" s="152"/>
      <c r="T34" s="157"/>
      <c r="U34" s="157"/>
      <c r="V34" s="157"/>
      <c r="W34" s="157"/>
      <c r="X34" s="157"/>
      <c r="Y34" s="157"/>
      <c r="Z34" s="157"/>
      <c r="AA34" s="157"/>
    </row>
    <row r="35" spans="1:27" ht="28.95" customHeight="1" x14ac:dyDescent="0.2">
      <c r="A35" s="131" t="s">
        <v>595</v>
      </c>
      <c r="B35" s="151" t="s">
        <v>596</v>
      </c>
      <c r="C35" s="135"/>
      <c r="D35" s="158"/>
      <c r="E35" s="135"/>
      <c r="F35" s="159"/>
      <c r="G35" s="159"/>
      <c r="H35" s="159"/>
      <c r="I35" s="136"/>
      <c r="J35" s="159"/>
      <c r="K35" s="159"/>
      <c r="L35" s="159"/>
      <c r="M35" s="136"/>
      <c r="N35" s="136"/>
      <c r="O35" s="159"/>
      <c r="P35" s="159"/>
      <c r="Q35" s="159"/>
      <c r="R35" s="159"/>
      <c r="S35" s="159"/>
      <c r="T35" s="160"/>
      <c r="U35" s="160"/>
      <c r="V35" s="160"/>
      <c r="W35" s="160"/>
      <c r="X35" s="160"/>
      <c r="Y35" s="160"/>
      <c r="Z35" s="160"/>
      <c r="AA35" s="160"/>
    </row>
    <row r="36" spans="1:27" ht="28.95" customHeight="1" x14ac:dyDescent="0.2">
      <c r="A36" s="161"/>
      <c r="B36" s="233" t="s">
        <v>648</v>
      </c>
      <c r="C36" s="233"/>
      <c r="D36" s="233"/>
      <c r="E36" s="233"/>
      <c r="F36" s="153" t="s">
        <v>586</v>
      </c>
      <c r="G36" s="153"/>
      <c r="H36" s="153"/>
      <c r="I36" s="153"/>
      <c r="J36" s="153"/>
      <c r="K36" s="153"/>
      <c r="L36" s="153"/>
      <c r="M36" s="153"/>
      <c r="N36" s="153"/>
      <c r="O36" s="153"/>
      <c r="P36" s="153"/>
      <c r="Q36" s="153"/>
      <c r="R36" s="153"/>
      <c r="S36" s="153"/>
      <c r="T36" s="162"/>
      <c r="U36" s="162"/>
      <c r="V36" s="162"/>
      <c r="W36" s="162"/>
      <c r="X36" s="162"/>
      <c r="Y36" s="162"/>
      <c r="Z36" s="162"/>
      <c r="AA36" s="162"/>
    </row>
    <row r="37" spans="1:27" ht="28.95" customHeight="1" x14ac:dyDescent="0.2">
      <c r="A37" s="163"/>
      <c r="B37" s="234" t="s">
        <v>649</v>
      </c>
      <c r="C37" s="234"/>
      <c r="D37" s="234"/>
      <c r="E37" s="234"/>
      <c r="F37" s="126"/>
      <c r="G37" s="126" t="s">
        <v>586</v>
      </c>
      <c r="H37" s="126"/>
      <c r="I37" s="126"/>
      <c r="J37" s="126"/>
      <c r="K37" s="126"/>
      <c r="L37" s="126"/>
      <c r="M37" s="126"/>
      <c r="N37" s="126"/>
      <c r="O37" s="126"/>
      <c r="P37" s="126"/>
      <c r="Q37" s="126"/>
      <c r="R37" s="126"/>
      <c r="S37" s="126"/>
      <c r="T37" s="155"/>
      <c r="U37" s="155"/>
      <c r="V37" s="155"/>
      <c r="W37" s="155"/>
      <c r="X37" s="155"/>
      <c r="Y37" s="155"/>
      <c r="Z37" s="155"/>
      <c r="AA37" s="155"/>
    </row>
    <row r="38" spans="1:27" ht="28.95" customHeight="1" x14ac:dyDescent="0.2">
      <c r="A38" s="163"/>
      <c r="B38" s="234" t="s">
        <v>650</v>
      </c>
      <c r="C38" s="234"/>
      <c r="D38" s="234"/>
      <c r="E38" s="234"/>
      <c r="F38" s="126"/>
      <c r="G38" s="126"/>
      <c r="H38" s="126" t="s">
        <v>586</v>
      </c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55"/>
      <c r="U38" s="155"/>
      <c r="V38" s="155"/>
      <c r="W38" s="155"/>
      <c r="X38" s="155"/>
      <c r="Y38" s="155"/>
      <c r="Z38" s="155"/>
      <c r="AA38" s="155"/>
    </row>
    <row r="39" spans="1:27" ht="28.95" customHeight="1" x14ac:dyDescent="0.2">
      <c r="A39" s="163"/>
      <c r="B39" s="234" t="s">
        <v>651</v>
      </c>
      <c r="C39" s="234"/>
      <c r="D39" s="234"/>
      <c r="E39" s="234"/>
      <c r="F39" s="126"/>
      <c r="G39" s="126"/>
      <c r="H39" s="126"/>
      <c r="I39" s="126" t="s">
        <v>586</v>
      </c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55"/>
      <c r="U39" s="155"/>
      <c r="V39" s="155"/>
      <c r="W39" s="155"/>
      <c r="X39" s="155"/>
      <c r="Y39" s="155"/>
      <c r="Z39" s="155"/>
      <c r="AA39" s="155"/>
    </row>
    <row r="40" spans="1:27" ht="28.95" customHeight="1" x14ac:dyDescent="0.2">
      <c r="A40" s="163"/>
      <c r="B40" s="234" t="s">
        <v>652</v>
      </c>
      <c r="C40" s="234"/>
      <c r="D40" s="234"/>
      <c r="E40" s="234"/>
      <c r="F40" s="126"/>
      <c r="G40" s="126"/>
      <c r="H40" s="126"/>
      <c r="I40" s="126"/>
      <c r="J40" s="126" t="s">
        <v>586</v>
      </c>
      <c r="K40" s="126"/>
      <c r="L40" s="126"/>
      <c r="M40" s="126"/>
      <c r="N40" s="126"/>
      <c r="O40" s="126"/>
      <c r="P40" s="126"/>
      <c r="Q40" s="126"/>
      <c r="R40" s="126"/>
      <c r="S40" s="126"/>
      <c r="T40" s="155"/>
      <c r="U40" s="155"/>
      <c r="V40" s="155"/>
      <c r="W40" s="155"/>
      <c r="X40" s="155"/>
      <c r="Y40" s="155"/>
      <c r="Z40" s="155"/>
      <c r="AA40" s="155"/>
    </row>
    <row r="41" spans="1:27" ht="28.95" customHeight="1" x14ac:dyDescent="0.2">
      <c r="A41" s="163"/>
      <c r="B41" s="234" t="s">
        <v>653</v>
      </c>
      <c r="C41" s="234"/>
      <c r="D41" s="234"/>
      <c r="E41" s="234"/>
      <c r="F41" s="126"/>
      <c r="G41" s="126"/>
      <c r="H41" s="126"/>
      <c r="I41" s="126"/>
      <c r="J41" s="126"/>
      <c r="K41" s="126" t="s">
        <v>586</v>
      </c>
      <c r="L41" s="126"/>
      <c r="M41" s="126"/>
      <c r="N41" s="126"/>
      <c r="O41" s="126"/>
      <c r="P41" s="126"/>
      <c r="Q41" s="126"/>
      <c r="R41" s="126"/>
      <c r="S41" s="126"/>
      <c r="T41" s="155"/>
      <c r="U41" s="155"/>
      <c r="V41" s="155"/>
      <c r="W41" s="155"/>
      <c r="X41" s="155"/>
      <c r="Y41" s="155"/>
      <c r="Z41" s="155"/>
      <c r="AA41" s="155"/>
    </row>
    <row r="42" spans="1:27" ht="28.95" customHeight="1" x14ac:dyDescent="0.2">
      <c r="A42" s="163"/>
      <c r="B42" s="234" t="s">
        <v>654</v>
      </c>
      <c r="C42" s="234"/>
      <c r="D42" s="234"/>
      <c r="E42" s="234"/>
      <c r="F42" s="126"/>
      <c r="G42" s="126"/>
      <c r="H42" s="126"/>
      <c r="I42" s="126"/>
      <c r="J42" s="126"/>
      <c r="K42" s="126"/>
      <c r="L42" s="126" t="s">
        <v>586</v>
      </c>
      <c r="M42" s="126"/>
      <c r="N42" s="126"/>
      <c r="O42" s="126"/>
      <c r="P42" s="126"/>
      <c r="Q42" s="126"/>
      <c r="R42" s="126"/>
      <c r="S42" s="126"/>
      <c r="T42" s="155"/>
      <c r="U42" s="155"/>
      <c r="V42" s="155"/>
      <c r="W42" s="155"/>
      <c r="X42" s="155"/>
      <c r="Y42" s="155"/>
      <c r="Z42" s="155"/>
      <c r="AA42" s="155"/>
    </row>
    <row r="43" spans="1:27" ht="28.95" customHeight="1" x14ac:dyDescent="0.2">
      <c r="A43" s="163"/>
      <c r="B43" s="234" t="s">
        <v>655</v>
      </c>
      <c r="C43" s="234"/>
      <c r="D43" s="234"/>
      <c r="E43" s="234"/>
      <c r="F43" s="126"/>
      <c r="G43" s="126"/>
      <c r="H43" s="126"/>
      <c r="I43" s="126"/>
      <c r="J43" s="126"/>
      <c r="K43" s="126"/>
      <c r="L43" s="126"/>
      <c r="M43" s="126" t="s">
        <v>586</v>
      </c>
      <c r="N43" s="126"/>
      <c r="O43" s="126"/>
      <c r="P43" s="126"/>
      <c r="Q43" s="126"/>
      <c r="R43" s="126"/>
      <c r="S43" s="126"/>
      <c r="T43" s="155"/>
      <c r="U43" s="155"/>
      <c r="V43" s="155"/>
      <c r="W43" s="155"/>
      <c r="X43" s="155"/>
      <c r="Y43" s="155"/>
      <c r="Z43" s="155"/>
      <c r="AA43" s="155"/>
    </row>
    <row r="44" spans="1:27" ht="28.95" customHeight="1" x14ac:dyDescent="0.2">
      <c r="A44" s="163"/>
      <c r="B44" s="234" t="s">
        <v>656</v>
      </c>
      <c r="C44" s="234"/>
      <c r="D44" s="234"/>
      <c r="E44" s="234"/>
      <c r="F44" s="126"/>
      <c r="G44" s="141"/>
      <c r="H44" s="126"/>
      <c r="I44" s="126"/>
      <c r="J44" s="126"/>
      <c r="K44" s="126"/>
      <c r="L44" s="126"/>
      <c r="M44" s="126"/>
      <c r="N44" s="126" t="s">
        <v>586</v>
      </c>
      <c r="O44" s="126"/>
      <c r="P44" s="126"/>
      <c r="Q44" s="126"/>
      <c r="R44" s="126"/>
      <c r="S44" s="126"/>
      <c r="T44" s="155"/>
      <c r="U44" s="155"/>
      <c r="V44" s="155"/>
      <c r="W44" s="155"/>
      <c r="X44" s="155"/>
      <c r="Y44" s="155"/>
      <c r="Z44" s="155"/>
      <c r="AA44" s="155"/>
    </row>
    <row r="45" spans="1:27" ht="28.95" customHeight="1" x14ac:dyDescent="0.2">
      <c r="A45" s="163"/>
      <c r="B45" s="234" t="s">
        <v>657</v>
      </c>
      <c r="C45" s="234"/>
      <c r="D45" s="234"/>
      <c r="E45" s="234"/>
      <c r="F45" s="126"/>
      <c r="G45" s="141"/>
      <c r="H45" s="126"/>
      <c r="I45" s="126"/>
      <c r="J45" s="126"/>
      <c r="K45" s="126"/>
      <c r="L45" s="126"/>
      <c r="M45" s="126"/>
      <c r="N45" s="126"/>
      <c r="O45" s="126" t="s">
        <v>586</v>
      </c>
      <c r="P45" s="126"/>
      <c r="Q45" s="126"/>
      <c r="R45" s="126"/>
      <c r="S45" s="126"/>
      <c r="T45" s="155"/>
      <c r="U45" s="155"/>
      <c r="V45" s="155"/>
      <c r="W45" s="155"/>
      <c r="X45" s="155"/>
      <c r="Y45" s="155"/>
      <c r="Z45" s="155"/>
      <c r="AA45" s="155"/>
    </row>
    <row r="46" spans="1:27" ht="28.95" customHeight="1" x14ac:dyDescent="0.2">
      <c r="A46" s="163"/>
      <c r="B46" s="228" t="s">
        <v>658</v>
      </c>
      <c r="C46" s="228"/>
      <c r="D46" s="228"/>
      <c r="E46" s="228"/>
      <c r="F46" s="126"/>
      <c r="G46" s="141"/>
      <c r="H46" s="126"/>
      <c r="I46" s="126"/>
      <c r="J46" s="126"/>
      <c r="K46" s="126"/>
      <c r="L46" s="126"/>
      <c r="M46" s="126"/>
      <c r="N46" s="126"/>
      <c r="O46" s="126"/>
      <c r="P46" s="126" t="s">
        <v>586</v>
      </c>
      <c r="Q46" s="126"/>
      <c r="R46" s="126"/>
      <c r="S46" s="126"/>
      <c r="T46" s="155"/>
      <c r="U46" s="155"/>
      <c r="V46" s="155"/>
      <c r="W46" s="155"/>
      <c r="X46" s="155"/>
      <c r="Y46" s="155"/>
      <c r="Z46" s="155"/>
      <c r="AA46" s="155"/>
    </row>
    <row r="47" spans="1:27" ht="28.95" customHeight="1" x14ac:dyDescent="0.2">
      <c r="A47" s="163"/>
      <c r="B47" s="228" t="s">
        <v>659</v>
      </c>
      <c r="C47" s="228"/>
      <c r="D47" s="228"/>
      <c r="E47" s="228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 t="s">
        <v>586</v>
      </c>
      <c r="R47" s="126"/>
      <c r="S47" s="126"/>
      <c r="T47" s="155"/>
      <c r="U47" s="155"/>
      <c r="V47" s="155"/>
      <c r="W47" s="155"/>
      <c r="X47" s="155"/>
      <c r="Y47" s="155"/>
      <c r="Z47" s="155"/>
      <c r="AA47" s="155"/>
    </row>
    <row r="48" spans="1:27" ht="28.95" customHeight="1" x14ac:dyDescent="0.2">
      <c r="A48" s="163"/>
      <c r="B48" s="228" t="s">
        <v>660</v>
      </c>
      <c r="C48" s="228"/>
      <c r="D48" s="228"/>
      <c r="E48" s="228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 t="s">
        <v>586</v>
      </c>
      <c r="S48" s="126"/>
      <c r="T48" s="155"/>
      <c r="U48" s="155"/>
      <c r="V48" s="155"/>
      <c r="W48" s="155"/>
      <c r="X48" s="155"/>
      <c r="Y48" s="155"/>
      <c r="Z48" s="155"/>
      <c r="AA48" s="155"/>
    </row>
    <row r="49" spans="1:27" ht="28.95" customHeight="1" x14ac:dyDescent="0.2">
      <c r="A49" s="163"/>
      <c r="B49" s="228" t="s">
        <v>661</v>
      </c>
      <c r="C49" s="228"/>
      <c r="D49" s="228"/>
      <c r="E49" s="228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 t="s">
        <v>586</v>
      </c>
      <c r="T49" s="155"/>
      <c r="U49" s="155"/>
      <c r="V49" s="155"/>
      <c r="W49" s="155"/>
      <c r="X49" s="155"/>
      <c r="Y49" s="155"/>
      <c r="Z49" s="155"/>
      <c r="AA49" s="155"/>
    </row>
    <row r="50" spans="1:27" ht="28.95" customHeight="1" x14ac:dyDescent="0.2">
      <c r="A50" s="163"/>
      <c r="B50" s="228" t="s">
        <v>662</v>
      </c>
      <c r="C50" s="228"/>
      <c r="D50" s="228"/>
      <c r="E50" s="228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55" t="s">
        <v>586</v>
      </c>
      <c r="U50" s="155"/>
      <c r="V50" s="155"/>
      <c r="W50" s="155"/>
      <c r="X50" s="155"/>
      <c r="Y50" s="155"/>
      <c r="Z50" s="155"/>
      <c r="AA50" s="155"/>
    </row>
    <row r="51" spans="1:27" ht="28.95" customHeight="1" x14ac:dyDescent="0.2">
      <c r="A51" s="163"/>
      <c r="B51" s="228" t="s">
        <v>663</v>
      </c>
      <c r="C51" s="228"/>
      <c r="D51" s="228"/>
      <c r="E51" s="228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55"/>
      <c r="U51" s="155" t="s">
        <v>586</v>
      </c>
      <c r="V51" s="155"/>
      <c r="W51" s="155"/>
      <c r="X51" s="155"/>
      <c r="Y51" s="155"/>
      <c r="Z51" s="155"/>
      <c r="AA51" s="155"/>
    </row>
    <row r="52" spans="1:27" ht="28.95" customHeight="1" x14ac:dyDescent="0.2">
      <c r="A52" s="163"/>
      <c r="B52" s="228" t="s">
        <v>664</v>
      </c>
      <c r="C52" s="228"/>
      <c r="D52" s="228"/>
      <c r="E52" s="228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55"/>
      <c r="U52" s="155"/>
      <c r="V52" s="155" t="s">
        <v>586</v>
      </c>
      <c r="W52" s="155"/>
      <c r="X52" s="155"/>
      <c r="Y52" s="155"/>
      <c r="Z52" s="155"/>
      <c r="AA52" s="155"/>
    </row>
    <row r="53" spans="1:27" ht="28.95" customHeight="1" x14ac:dyDescent="0.2">
      <c r="A53" s="163"/>
      <c r="B53" s="235" t="s">
        <v>665</v>
      </c>
      <c r="C53" s="235"/>
      <c r="D53" s="235"/>
      <c r="E53" s="235"/>
      <c r="F53" s="139"/>
      <c r="G53" s="141"/>
      <c r="H53" s="139"/>
      <c r="I53" s="139"/>
      <c r="J53" s="139"/>
      <c r="K53" s="139"/>
      <c r="L53" s="139"/>
      <c r="M53" s="139"/>
      <c r="N53" s="139"/>
      <c r="O53" s="139"/>
      <c r="P53" s="139"/>
      <c r="Q53" s="139"/>
      <c r="R53" s="139"/>
      <c r="S53" s="139"/>
      <c r="T53" s="165"/>
      <c r="U53" s="165"/>
      <c r="V53" s="165"/>
      <c r="W53" s="165" t="s">
        <v>586</v>
      </c>
      <c r="X53" s="165"/>
      <c r="Y53" s="165"/>
      <c r="Z53" s="165"/>
      <c r="AA53" s="165"/>
    </row>
    <row r="54" spans="1:27" ht="28.95" customHeight="1" x14ac:dyDescent="0.2">
      <c r="A54" s="161"/>
      <c r="B54" s="236" t="s">
        <v>666</v>
      </c>
      <c r="C54" s="236"/>
      <c r="D54" s="236"/>
      <c r="E54" s="236"/>
      <c r="F54" s="166"/>
      <c r="G54" s="166"/>
      <c r="H54" s="166"/>
      <c r="I54" s="166"/>
      <c r="J54" s="166"/>
      <c r="K54" s="166"/>
      <c r="L54" s="166"/>
      <c r="M54" s="166"/>
      <c r="N54" s="166"/>
      <c r="O54" s="166"/>
      <c r="P54" s="166"/>
      <c r="Q54" s="166"/>
      <c r="R54" s="166"/>
      <c r="S54" s="166"/>
      <c r="T54" s="167"/>
      <c r="U54" s="167"/>
      <c r="V54" s="167"/>
      <c r="W54" s="167"/>
      <c r="X54" s="167" t="s">
        <v>586</v>
      </c>
      <c r="Y54" s="167"/>
      <c r="Z54" s="167"/>
      <c r="AA54" s="167"/>
    </row>
    <row r="55" spans="1:27" ht="28.95" customHeight="1" x14ac:dyDescent="0.2">
      <c r="A55" s="163"/>
      <c r="B55" s="234" t="s">
        <v>667</v>
      </c>
      <c r="C55" s="234"/>
      <c r="D55" s="234"/>
      <c r="E55" s="234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55"/>
      <c r="U55" s="155"/>
      <c r="V55" s="155"/>
      <c r="W55" s="155"/>
      <c r="X55" s="155"/>
      <c r="Y55" s="155" t="s">
        <v>586</v>
      </c>
      <c r="Z55" s="155"/>
      <c r="AA55" s="155"/>
    </row>
    <row r="56" spans="1:27" ht="28.95" customHeight="1" x14ac:dyDescent="0.2">
      <c r="A56" s="163"/>
      <c r="B56" s="234" t="s">
        <v>668</v>
      </c>
      <c r="C56" s="234"/>
      <c r="D56" s="234"/>
      <c r="E56" s="234"/>
      <c r="F56" s="168"/>
      <c r="G56" s="168"/>
      <c r="H56" s="168"/>
      <c r="I56" s="168"/>
      <c r="J56" s="168"/>
      <c r="K56" s="168"/>
      <c r="L56" s="168"/>
      <c r="M56" s="168"/>
      <c r="N56" s="168"/>
      <c r="O56" s="169"/>
      <c r="P56" s="169"/>
      <c r="Q56" s="169"/>
      <c r="R56" s="169"/>
      <c r="S56" s="169"/>
      <c r="T56" s="170"/>
      <c r="U56" s="170"/>
      <c r="V56" s="170"/>
      <c r="W56" s="170"/>
      <c r="X56" s="170"/>
      <c r="Y56" s="170"/>
      <c r="Z56" s="170" t="s">
        <v>586</v>
      </c>
      <c r="AA56" s="170"/>
    </row>
    <row r="57" spans="1:27" ht="28.95" customHeight="1" x14ac:dyDescent="0.2">
      <c r="A57" s="171"/>
      <c r="B57" s="237" t="s">
        <v>669</v>
      </c>
      <c r="C57" s="237"/>
      <c r="D57" s="237"/>
      <c r="E57" s="237"/>
      <c r="F57" s="150"/>
      <c r="G57" s="150"/>
      <c r="H57" s="150"/>
      <c r="I57" s="150"/>
      <c r="J57" s="150"/>
      <c r="K57" s="150"/>
      <c r="L57" s="150"/>
      <c r="M57" s="150"/>
      <c r="N57" s="150"/>
      <c r="O57" s="150"/>
      <c r="P57" s="150"/>
      <c r="Q57" s="150"/>
      <c r="R57" s="150"/>
      <c r="S57" s="150"/>
      <c r="T57" s="156"/>
      <c r="U57" s="156"/>
      <c r="V57" s="156"/>
      <c r="W57" s="156"/>
      <c r="X57" s="156"/>
      <c r="Y57" s="156"/>
      <c r="Z57" s="156"/>
      <c r="AA57" s="156" t="s">
        <v>586</v>
      </c>
    </row>
    <row r="58" spans="1:27" ht="14.25" customHeight="1" x14ac:dyDescent="0.25">
      <c r="A58" s="171"/>
      <c r="B58" s="172"/>
      <c r="C58" s="173"/>
      <c r="D58" s="174"/>
      <c r="E58" s="175"/>
      <c r="F58" s="150"/>
      <c r="G58" s="150"/>
      <c r="H58" s="150"/>
      <c r="I58" s="150"/>
      <c r="J58" s="150"/>
      <c r="K58" s="150"/>
      <c r="L58" s="150"/>
      <c r="M58" s="150"/>
      <c r="N58" s="150"/>
      <c r="O58" s="150"/>
      <c r="P58" s="150"/>
      <c r="Q58" s="150"/>
      <c r="R58" s="150"/>
      <c r="S58" s="150"/>
      <c r="T58" s="156"/>
      <c r="U58" s="156"/>
      <c r="V58" s="156"/>
      <c r="W58" s="156"/>
      <c r="X58" s="156"/>
      <c r="Y58" s="156"/>
      <c r="Z58" s="156"/>
      <c r="AA58" s="156"/>
    </row>
    <row r="59" spans="1:27" ht="15.45" customHeight="1" x14ac:dyDescent="0.25">
      <c r="A59" s="131" t="s">
        <v>564</v>
      </c>
      <c r="B59" s="237" t="s">
        <v>605</v>
      </c>
      <c r="C59" s="237"/>
      <c r="D59" s="237"/>
      <c r="E59" s="175"/>
      <c r="F59" s="150" t="s">
        <v>554</v>
      </c>
      <c r="G59" s="150" t="s">
        <v>554</v>
      </c>
      <c r="H59" s="150" t="s">
        <v>555</v>
      </c>
      <c r="I59" s="150" t="s">
        <v>554</v>
      </c>
      <c r="J59" s="150" t="s">
        <v>554</v>
      </c>
      <c r="K59" s="150" t="s">
        <v>554</v>
      </c>
      <c r="L59" s="150" t="s">
        <v>555</v>
      </c>
      <c r="M59" s="150" t="s">
        <v>554</v>
      </c>
      <c r="N59" s="150" t="s">
        <v>554</v>
      </c>
      <c r="O59" s="150" t="s">
        <v>555</v>
      </c>
      <c r="P59" s="150" t="s">
        <v>555</v>
      </c>
      <c r="Q59" s="150" t="s">
        <v>554</v>
      </c>
      <c r="R59" s="150" t="s">
        <v>555</v>
      </c>
      <c r="S59" s="150" t="s">
        <v>555</v>
      </c>
      <c r="T59" s="156" t="s">
        <v>554</v>
      </c>
      <c r="U59" s="156" t="s">
        <v>556</v>
      </c>
      <c r="V59" s="156" t="s">
        <v>554</v>
      </c>
      <c r="W59" s="156" t="s">
        <v>555</v>
      </c>
      <c r="X59" s="156" t="s">
        <v>554</v>
      </c>
      <c r="Y59" s="156" t="s">
        <v>554</v>
      </c>
      <c r="Z59" s="156" t="s">
        <v>554</v>
      </c>
      <c r="AA59" s="156" t="s">
        <v>554</v>
      </c>
    </row>
    <row r="60" spans="1:27" ht="15.45" customHeight="1" x14ac:dyDescent="0.25">
      <c r="A60" s="171"/>
      <c r="B60" s="237" t="s">
        <v>606</v>
      </c>
      <c r="C60" s="237"/>
      <c r="D60" s="237"/>
      <c r="E60" s="175"/>
      <c r="F60" s="150" t="s">
        <v>607</v>
      </c>
      <c r="G60" s="150" t="s">
        <v>607</v>
      </c>
      <c r="H60" s="150" t="s">
        <v>607</v>
      </c>
      <c r="I60" s="150" t="s">
        <v>607</v>
      </c>
      <c r="J60" s="150" t="s">
        <v>607</v>
      </c>
      <c r="K60" s="150" t="s">
        <v>607</v>
      </c>
      <c r="L60" s="150" t="s">
        <v>607</v>
      </c>
      <c r="M60" s="150" t="s">
        <v>607</v>
      </c>
      <c r="N60" s="150" t="s">
        <v>607</v>
      </c>
      <c r="O60" s="150" t="s">
        <v>607</v>
      </c>
      <c r="P60" s="150" t="s">
        <v>607</v>
      </c>
      <c r="Q60" s="150" t="s">
        <v>607</v>
      </c>
      <c r="R60" s="150" t="s">
        <v>607</v>
      </c>
      <c r="S60" s="150" t="s">
        <v>607</v>
      </c>
      <c r="T60" s="156" t="s">
        <v>607</v>
      </c>
      <c r="U60" s="156" t="s">
        <v>607</v>
      </c>
      <c r="V60" s="156" t="s">
        <v>607</v>
      </c>
      <c r="W60" s="156" t="s">
        <v>607</v>
      </c>
      <c r="X60" s="156" t="s">
        <v>607</v>
      </c>
      <c r="Y60" s="156" t="s">
        <v>607</v>
      </c>
      <c r="Z60" s="156" t="s">
        <v>607</v>
      </c>
      <c r="AA60" s="156" t="s">
        <v>607</v>
      </c>
    </row>
    <row r="61" spans="1:27" ht="28.95" customHeight="1" x14ac:dyDescent="0.25">
      <c r="A61" s="171"/>
      <c r="B61" s="237" t="s">
        <v>608</v>
      </c>
      <c r="C61" s="237"/>
      <c r="D61" s="237"/>
      <c r="E61" s="175"/>
      <c r="F61" s="150" t="s">
        <v>609</v>
      </c>
      <c r="G61" s="150" t="s">
        <v>609</v>
      </c>
      <c r="H61" s="150" t="s">
        <v>609</v>
      </c>
      <c r="I61" s="150" t="s">
        <v>609</v>
      </c>
      <c r="J61" s="150" t="s">
        <v>609</v>
      </c>
      <c r="K61" s="150" t="s">
        <v>609</v>
      </c>
      <c r="L61" s="150" t="s">
        <v>609</v>
      </c>
      <c r="M61" s="150" t="s">
        <v>609</v>
      </c>
      <c r="N61" s="150" t="s">
        <v>609</v>
      </c>
      <c r="O61" s="150" t="s">
        <v>609</v>
      </c>
      <c r="P61" s="150" t="s">
        <v>609</v>
      </c>
      <c r="Q61" s="150" t="s">
        <v>609</v>
      </c>
      <c r="R61" s="150" t="s">
        <v>609</v>
      </c>
      <c r="S61" s="150" t="s">
        <v>609</v>
      </c>
      <c r="T61" s="156" t="s">
        <v>609</v>
      </c>
      <c r="U61" s="156" t="s">
        <v>609</v>
      </c>
      <c r="V61" s="156" t="s">
        <v>609</v>
      </c>
      <c r="W61" s="156" t="s">
        <v>609</v>
      </c>
      <c r="X61" s="156" t="s">
        <v>609</v>
      </c>
      <c r="Y61" s="156" t="s">
        <v>609</v>
      </c>
      <c r="Z61" s="156" t="s">
        <v>609</v>
      </c>
      <c r="AA61" s="156" t="s">
        <v>609</v>
      </c>
    </row>
    <row r="62" spans="1:27" ht="15.45" customHeight="1" x14ac:dyDescent="0.25">
      <c r="A62" s="171"/>
      <c r="B62" s="237" t="s">
        <v>610</v>
      </c>
      <c r="C62" s="237"/>
      <c r="D62" s="237"/>
      <c r="E62" s="175"/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50"/>
      <c r="R62" s="150"/>
      <c r="S62" s="150"/>
      <c r="T62" s="156"/>
      <c r="U62" s="156"/>
      <c r="V62" s="156"/>
      <c r="W62" s="156"/>
      <c r="X62" s="156"/>
      <c r="Y62" s="156"/>
      <c r="Z62" s="156"/>
      <c r="AA62" s="156"/>
    </row>
  </sheetData>
  <autoFilter ref="F9:AA62" xr:uid="{00000000-0009-0000-0000-000005000000}"/>
  <mergeCells count="71">
    <mergeCell ref="B60:D60"/>
    <mergeCell ref="B61:D61"/>
    <mergeCell ref="B62:D62"/>
    <mergeCell ref="B54:E54"/>
    <mergeCell ref="B55:E55"/>
    <mergeCell ref="B56:E56"/>
    <mergeCell ref="B57:E57"/>
    <mergeCell ref="B59:D59"/>
    <mergeCell ref="B49:E49"/>
    <mergeCell ref="B50:E50"/>
    <mergeCell ref="B51:E51"/>
    <mergeCell ref="B52:E52"/>
    <mergeCell ref="B53:E53"/>
    <mergeCell ref="B44:E44"/>
    <mergeCell ref="B45:E45"/>
    <mergeCell ref="B46:E46"/>
    <mergeCell ref="B47:E47"/>
    <mergeCell ref="B48:E48"/>
    <mergeCell ref="B39:E39"/>
    <mergeCell ref="B40:E40"/>
    <mergeCell ref="B41:E41"/>
    <mergeCell ref="B42:E42"/>
    <mergeCell ref="B43:E43"/>
    <mergeCell ref="B32:E32"/>
    <mergeCell ref="B33:E33"/>
    <mergeCell ref="B36:E36"/>
    <mergeCell ref="B37:E37"/>
    <mergeCell ref="B38:E38"/>
    <mergeCell ref="B27:E27"/>
    <mergeCell ref="B28:E28"/>
    <mergeCell ref="B29:E29"/>
    <mergeCell ref="B30:E30"/>
    <mergeCell ref="B31:E31"/>
    <mergeCell ref="B22:E22"/>
    <mergeCell ref="B23:E23"/>
    <mergeCell ref="B24:E24"/>
    <mergeCell ref="B25:E25"/>
    <mergeCell ref="B26:E26"/>
    <mergeCell ref="B17:E17"/>
    <mergeCell ref="B18:E18"/>
    <mergeCell ref="B19:E19"/>
    <mergeCell ref="B20:E20"/>
    <mergeCell ref="B21:E21"/>
    <mergeCell ref="B12:E12"/>
    <mergeCell ref="B13:E13"/>
    <mergeCell ref="B14:E14"/>
    <mergeCell ref="B15:E15"/>
    <mergeCell ref="B16:E16"/>
    <mergeCell ref="A7:B7"/>
    <mergeCell ref="C7:E7"/>
    <mergeCell ref="F7:K7"/>
    <mergeCell ref="O7:AA7"/>
    <mergeCell ref="B11:E11"/>
    <mergeCell ref="A6:B6"/>
    <mergeCell ref="C6:E6"/>
    <mergeCell ref="F6:K6"/>
    <mergeCell ref="L6:N6"/>
    <mergeCell ref="O6:AA6"/>
    <mergeCell ref="A4:E4"/>
    <mergeCell ref="F4:K4"/>
    <mergeCell ref="L4:AA4"/>
    <mergeCell ref="A5:B5"/>
    <mergeCell ref="C5:AA5"/>
    <mergeCell ref="A2:B2"/>
    <mergeCell ref="C2:E2"/>
    <mergeCell ref="F2:K2"/>
    <mergeCell ref="L2:AA2"/>
    <mergeCell ref="A3:B3"/>
    <mergeCell ref="C3:E3"/>
    <mergeCell ref="F3:K3"/>
    <mergeCell ref="L3:AA3"/>
  </mergeCells>
  <pageMargins left="0.25" right="0.25" top="1" bottom="1" header="0.5" footer="0.5"/>
  <pageSetup fitToHeight="0" orientation="portrait" useFirstPageNumber="1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O90"/>
  <sheetViews>
    <sheetView zoomScale="85" zoomScaleNormal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3.5" customHeight="1" x14ac:dyDescent="0.2"/>
  <cols>
    <col min="1" max="1" width="11" customWidth="1"/>
    <col min="2" max="2" width="15" customWidth="1"/>
    <col min="3" max="3" width="20" customWidth="1"/>
    <col min="4" max="5" width="13" customWidth="1"/>
    <col min="6" max="6" width="10" customWidth="1"/>
    <col min="7" max="41" width="13" customWidth="1"/>
    <col min="42" max="90" width="8.33203125" customWidth="1"/>
  </cols>
  <sheetData>
    <row r="1" spans="1:41" ht="13.5" customHeight="1" x14ac:dyDescent="0.2">
      <c r="A1" s="121"/>
      <c r="B1" s="122"/>
      <c r="C1" s="123"/>
      <c r="D1" s="123"/>
      <c r="E1" s="123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4"/>
      <c r="AJ1" s="124"/>
      <c r="AK1" s="124"/>
      <c r="AL1" s="124"/>
      <c r="AM1" s="124"/>
      <c r="AN1" s="124"/>
      <c r="AO1" s="124"/>
    </row>
    <row r="2" spans="1:41" ht="27.9" customHeight="1" x14ac:dyDescent="0.2">
      <c r="A2" s="221" t="s">
        <v>568</v>
      </c>
      <c r="B2" s="221"/>
      <c r="C2" s="222" t="s">
        <v>96</v>
      </c>
      <c r="D2" s="222"/>
      <c r="E2" s="222"/>
      <c r="F2" s="223" t="s">
        <v>78</v>
      </c>
      <c r="G2" s="223"/>
      <c r="H2" s="223"/>
      <c r="I2" s="223"/>
      <c r="J2" s="223"/>
      <c r="K2" s="223"/>
      <c r="L2" s="224" t="str">
        <f>FunctionList!D13</f>
        <v>See the per-case source map in the evidence document</v>
      </c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4"/>
      <c r="Z2" s="224"/>
      <c r="AA2" s="224"/>
      <c r="AB2" s="224"/>
      <c r="AC2" s="224"/>
      <c r="AD2" s="224"/>
      <c r="AE2" s="224"/>
      <c r="AF2" s="224"/>
      <c r="AG2" s="224"/>
      <c r="AH2" s="224"/>
      <c r="AI2" s="224"/>
      <c r="AJ2" s="224"/>
      <c r="AK2" s="224"/>
      <c r="AL2" s="224"/>
      <c r="AM2" s="224"/>
      <c r="AN2" s="224"/>
      <c r="AO2" s="224"/>
    </row>
    <row r="3" spans="1:41" ht="27.9" customHeight="1" x14ac:dyDescent="0.2">
      <c r="A3" s="221" t="s">
        <v>569</v>
      </c>
      <c r="B3" s="221"/>
      <c r="C3" s="222" t="s">
        <v>49</v>
      </c>
      <c r="D3" s="222"/>
      <c r="E3" s="222"/>
      <c r="F3" s="223" t="s">
        <v>570</v>
      </c>
      <c r="G3" s="223"/>
      <c r="H3" s="223"/>
      <c r="I3" s="223"/>
      <c r="J3" s="223"/>
      <c r="K3" s="223"/>
      <c r="L3" s="225"/>
      <c r="M3" s="225"/>
      <c r="N3" s="225"/>
      <c r="O3" s="225"/>
      <c r="P3" s="225"/>
      <c r="Q3" s="225"/>
      <c r="R3" s="225"/>
      <c r="S3" s="225"/>
      <c r="T3" s="225"/>
      <c r="U3" s="225"/>
      <c r="V3" s="225"/>
      <c r="W3" s="225"/>
      <c r="X3" s="225"/>
      <c r="Y3" s="225"/>
      <c r="Z3" s="225"/>
      <c r="AA3" s="225"/>
      <c r="AB3" s="225"/>
      <c r="AC3" s="225"/>
      <c r="AD3" s="225"/>
      <c r="AE3" s="225"/>
      <c r="AF3" s="225"/>
      <c r="AG3" s="225"/>
      <c r="AH3" s="225"/>
      <c r="AI3" s="225"/>
      <c r="AJ3" s="225"/>
      <c r="AK3" s="225"/>
      <c r="AL3" s="225"/>
      <c r="AM3" s="225"/>
      <c r="AN3" s="225"/>
      <c r="AO3" s="225"/>
    </row>
    <row r="4" spans="1:41" ht="27.9" customHeight="1" x14ac:dyDescent="0.2">
      <c r="A4" s="221" t="s">
        <v>571</v>
      </c>
      <c r="B4" s="221"/>
      <c r="C4" s="221"/>
      <c r="D4" s="221"/>
      <c r="E4" s="221"/>
      <c r="F4" s="223" t="s">
        <v>572</v>
      </c>
      <c r="G4" s="223"/>
      <c r="H4" s="223"/>
      <c r="I4" s="223"/>
      <c r="J4" s="223"/>
      <c r="K4" s="223"/>
      <c r="L4" s="226">
        <f>IF(ISNUMBER(FunctionList!E6),MAX(0,ROUNDUP(C4*FunctionList!E6/1000,0)-O7),"N/A")</f>
        <v>0</v>
      </c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  <c r="X4" s="226"/>
      <c r="Y4" s="226"/>
      <c r="Z4" s="226"/>
      <c r="AA4" s="226"/>
      <c r="AB4" s="226"/>
      <c r="AC4" s="226"/>
      <c r="AD4" s="226"/>
      <c r="AE4" s="226"/>
      <c r="AF4" s="226"/>
      <c r="AG4" s="226"/>
      <c r="AH4" s="226"/>
      <c r="AI4" s="226"/>
      <c r="AJ4" s="226"/>
      <c r="AK4" s="226"/>
      <c r="AL4" s="226"/>
      <c r="AM4" s="226"/>
      <c r="AN4" s="226"/>
      <c r="AO4" s="226"/>
    </row>
    <row r="5" spans="1:41" ht="63.9" customHeight="1" x14ac:dyDescent="0.2">
      <c r="A5" s="221" t="s">
        <v>573</v>
      </c>
      <c r="B5" s="221"/>
      <c r="C5" s="227" t="s">
        <v>670</v>
      </c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7"/>
      <c r="X5" s="227"/>
      <c r="Y5" s="227"/>
      <c r="Z5" s="227"/>
      <c r="AA5" s="227"/>
      <c r="AB5" s="227"/>
      <c r="AC5" s="227"/>
      <c r="AD5" s="227"/>
      <c r="AE5" s="227"/>
      <c r="AF5" s="227"/>
      <c r="AG5" s="227"/>
      <c r="AH5" s="227"/>
      <c r="AI5" s="227"/>
      <c r="AJ5" s="227"/>
      <c r="AK5" s="227"/>
      <c r="AL5" s="227"/>
      <c r="AM5" s="227"/>
      <c r="AN5" s="227"/>
      <c r="AO5" s="227"/>
    </row>
    <row r="6" spans="1:41" ht="27.9" customHeight="1" x14ac:dyDescent="0.2">
      <c r="A6" s="223" t="s">
        <v>551</v>
      </c>
      <c r="B6" s="223"/>
      <c r="C6" s="223" t="s">
        <v>552</v>
      </c>
      <c r="D6" s="223"/>
      <c r="E6" s="223"/>
      <c r="F6" s="223" t="s">
        <v>553</v>
      </c>
      <c r="G6" s="223"/>
      <c r="H6" s="223"/>
      <c r="I6" s="223"/>
      <c r="J6" s="223"/>
      <c r="K6" s="223"/>
      <c r="L6" s="223" t="s">
        <v>575</v>
      </c>
      <c r="M6" s="223"/>
      <c r="N6" s="223"/>
      <c r="O6" s="223" t="s">
        <v>557</v>
      </c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  <c r="AM6" s="223"/>
      <c r="AN6" s="223"/>
      <c r="AO6" s="223"/>
    </row>
    <row r="7" spans="1:41" ht="27.9" customHeight="1" x14ac:dyDescent="0.2">
      <c r="A7" s="226">
        <f>COUNTIF(F88:AO88,"P")</f>
        <v>35</v>
      </c>
      <c r="B7" s="226"/>
      <c r="C7" s="226">
        <f>COUNTIF(F88:AO88,"F")</f>
        <v>0</v>
      </c>
      <c r="D7" s="226"/>
      <c r="E7" s="226"/>
      <c r="F7" s="226">
        <f>O7-A7-C7</f>
        <v>1</v>
      </c>
      <c r="G7" s="226"/>
      <c r="H7" s="226"/>
      <c r="I7" s="226"/>
      <c r="J7" s="226"/>
      <c r="K7" s="226"/>
      <c r="L7" s="126">
        <f>COUNTIF(F87:AO87,"N")</f>
        <v>22</v>
      </c>
      <c r="M7" s="126">
        <f>COUNTIF(F87:AO87,"A")</f>
        <v>9</v>
      </c>
      <c r="N7" s="126">
        <f>COUNTIF(F87:AO87,"B")</f>
        <v>5</v>
      </c>
      <c r="O7" s="226">
        <f>COUNTA(F9:AO9)</f>
        <v>36</v>
      </c>
      <c r="P7" s="226"/>
      <c r="Q7" s="226"/>
      <c r="R7" s="226"/>
      <c r="S7" s="226"/>
      <c r="T7" s="226"/>
      <c r="U7" s="226"/>
      <c r="V7" s="226"/>
      <c r="W7" s="226"/>
      <c r="X7" s="226"/>
      <c r="Y7" s="226"/>
      <c r="Z7" s="226"/>
      <c r="AA7" s="226"/>
      <c r="AB7" s="226"/>
      <c r="AC7" s="226"/>
      <c r="AD7" s="226"/>
      <c r="AE7" s="226"/>
      <c r="AF7" s="226"/>
      <c r="AG7" s="226"/>
      <c r="AH7" s="226"/>
      <c r="AI7" s="226"/>
      <c r="AJ7" s="226"/>
      <c r="AK7" s="226"/>
      <c r="AL7" s="226"/>
      <c r="AM7" s="226"/>
      <c r="AN7" s="226"/>
      <c r="AO7" s="226"/>
    </row>
    <row r="8" spans="1:41" ht="13.5" customHeight="1" x14ac:dyDescent="0.2">
      <c r="A8" s="123"/>
      <c r="B8" s="127"/>
      <c r="C8" s="123"/>
      <c r="D8" s="123"/>
      <c r="E8" s="123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4"/>
      <c r="R8" s="124"/>
      <c r="S8" s="124"/>
      <c r="T8" s="124"/>
      <c r="U8" s="124"/>
      <c r="V8" s="124"/>
      <c r="W8" s="124"/>
      <c r="X8" s="124"/>
      <c r="Y8" s="124"/>
      <c r="Z8" s="124"/>
      <c r="AA8" s="124"/>
      <c r="AB8" s="124"/>
      <c r="AC8" s="124"/>
      <c r="AD8" s="124"/>
      <c r="AE8" s="124"/>
      <c r="AF8" s="124"/>
      <c r="AG8" s="124"/>
      <c r="AH8" s="124"/>
      <c r="AI8" s="124"/>
      <c r="AJ8" s="124"/>
      <c r="AK8" s="124"/>
      <c r="AL8" s="124"/>
      <c r="AM8" s="124"/>
      <c r="AN8" s="124"/>
      <c r="AO8" s="124"/>
    </row>
    <row r="9" spans="1:41" ht="42" customHeight="1" x14ac:dyDescent="0.2">
      <c r="A9" s="128"/>
      <c r="B9" s="129"/>
      <c r="C9" s="129"/>
      <c r="D9" s="129"/>
      <c r="E9" s="129"/>
      <c r="F9" s="130" t="s">
        <v>576</v>
      </c>
      <c r="G9" s="130" t="s">
        <v>577</v>
      </c>
      <c r="H9" s="130" t="s">
        <v>578</v>
      </c>
      <c r="I9" s="130" t="s">
        <v>579</v>
      </c>
      <c r="J9" s="130" t="s">
        <v>580</v>
      </c>
      <c r="K9" s="130" t="s">
        <v>581</v>
      </c>
      <c r="L9" s="130" t="s">
        <v>582</v>
      </c>
      <c r="M9" s="130" t="s">
        <v>583</v>
      </c>
      <c r="N9" s="130" t="s">
        <v>612</v>
      </c>
      <c r="O9" s="130" t="s">
        <v>613</v>
      </c>
      <c r="P9" s="130" t="s">
        <v>614</v>
      </c>
      <c r="Q9" s="130" t="s">
        <v>615</v>
      </c>
      <c r="R9" s="130" t="s">
        <v>616</v>
      </c>
      <c r="S9" s="130" t="s">
        <v>617</v>
      </c>
      <c r="T9" s="130" t="s">
        <v>618</v>
      </c>
      <c r="U9" s="130" t="s">
        <v>619</v>
      </c>
      <c r="V9" s="130" t="s">
        <v>620</v>
      </c>
      <c r="W9" s="130" t="s">
        <v>621</v>
      </c>
      <c r="X9" s="130" t="s">
        <v>622</v>
      </c>
      <c r="Y9" s="130" t="s">
        <v>623</v>
      </c>
      <c r="Z9" s="130" t="s">
        <v>624</v>
      </c>
      <c r="AA9" s="130" t="s">
        <v>625</v>
      </c>
      <c r="AB9" s="130" t="s">
        <v>671</v>
      </c>
      <c r="AC9" s="130" t="s">
        <v>672</v>
      </c>
      <c r="AD9" s="130" t="s">
        <v>673</v>
      </c>
      <c r="AE9" s="130" t="s">
        <v>674</v>
      </c>
      <c r="AF9" s="130" t="s">
        <v>675</v>
      </c>
      <c r="AG9" s="130" t="s">
        <v>676</v>
      </c>
      <c r="AH9" s="130" t="s">
        <v>677</v>
      </c>
      <c r="AI9" s="130" t="s">
        <v>678</v>
      </c>
      <c r="AJ9" s="130" t="s">
        <v>679</v>
      </c>
      <c r="AK9" s="130" t="s">
        <v>680</v>
      </c>
      <c r="AL9" s="130" t="s">
        <v>681</v>
      </c>
      <c r="AM9" s="130" t="s">
        <v>682</v>
      </c>
      <c r="AN9" s="130" t="s">
        <v>683</v>
      </c>
      <c r="AO9" s="130" t="s">
        <v>684</v>
      </c>
    </row>
    <row r="10" spans="1:41" ht="15.45" customHeight="1" x14ac:dyDescent="0.2">
      <c r="A10" s="131" t="s">
        <v>584</v>
      </c>
      <c r="B10" s="132" t="s">
        <v>585</v>
      </c>
      <c r="C10" s="133"/>
      <c r="D10" s="134"/>
      <c r="E10" s="135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  <c r="R10" s="136"/>
      <c r="S10" s="136"/>
      <c r="T10" s="154"/>
      <c r="U10" s="154"/>
      <c r="V10" s="154"/>
      <c r="W10" s="154"/>
      <c r="X10" s="154"/>
      <c r="Y10" s="154"/>
      <c r="Z10" s="154"/>
      <c r="AA10" s="154"/>
      <c r="AB10" s="154"/>
      <c r="AC10" s="154"/>
      <c r="AD10" s="154"/>
      <c r="AE10" s="154"/>
      <c r="AF10" s="154"/>
      <c r="AG10" s="154"/>
      <c r="AH10" s="154"/>
      <c r="AI10" s="154"/>
      <c r="AJ10" s="154"/>
      <c r="AK10" s="154"/>
      <c r="AL10" s="154"/>
      <c r="AM10" s="154"/>
      <c r="AN10" s="154"/>
      <c r="AO10" s="154"/>
    </row>
    <row r="11" spans="1:41" ht="28.95" customHeight="1" x14ac:dyDescent="0.2">
      <c r="A11" s="137"/>
      <c r="B11" s="228" t="s">
        <v>98</v>
      </c>
      <c r="C11" s="228"/>
      <c r="D11" s="228"/>
      <c r="E11" s="228"/>
      <c r="F11" s="126" t="s">
        <v>586</v>
      </c>
      <c r="G11" s="126" t="s">
        <v>586</v>
      </c>
      <c r="H11" s="126" t="s">
        <v>586</v>
      </c>
      <c r="I11" s="126" t="s">
        <v>586</v>
      </c>
      <c r="J11" s="126" t="s">
        <v>586</v>
      </c>
      <c r="K11" s="126" t="s">
        <v>586</v>
      </c>
      <c r="L11" s="126" t="s">
        <v>586</v>
      </c>
      <c r="M11" s="126" t="s">
        <v>586</v>
      </c>
      <c r="N11" s="126" t="s">
        <v>586</v>
      </c>
      <c r="O11" s="126" t="s">
        <v>586</v>
      </c>
      <c r="P11" s="126" t="s">
        <v>586</v>
      </c>
      <c r="Q11" s="126" t="s">
        <v>586</v>
      </c>
      <c r="R11" s="126" t="s">
        <v>586</v>
      </c>
      <c r="S11" s="126" t="s">
        <v>586</v>
      </c>
      <c r="T11" s="155" t="s">
        <v>586</v>
      </c>
      <c r="U11" s="155" t="s">
        <v>586</v>
      </c>
      <c r="V11" s="155" t="s">
        <v>586</v>
      </c>
      <c r="W11" s="155" t="s">
        <v>586</v>
      </c>
      <c r="X11" s="155" t="s">
        <v>586</v>
      </c>
      <c r="Y11" s="155" t="s">
        <v>586</v>
      </c>
      <c r="Z11" s="155" t="s">
        <v>586</v>
      </c>
      <c r="AA11" s="155" t="s">
        <v>586</v>
      </c>
      <c r="AB11" s="155" t="s">
        <v>586</v>
      </c>
      <c r="AC11" s="155" t="s">
        <v>586</v>
      </c>
      <c r="AD11" s="155" t="s">
        <v>586</v>
      </c>
      <c r="AE11" s="155" t="s">
        <v>586</v>
      </c>
      <c r="AF11" s="155" t="s">
        <v>586</v>
      </c>
      <c r="AG11" s="155" t="s">
        <v>586</v>
      </c>
      <c r="AH11" s="155" t="s">
        <v>586</v>
      </c>
      <c r="AI11" s="155" t="s">
        <v>586</v>
      </c>
      <c r="AJ11" s="155" t="s">
        <v>586</v>
      </c>
      <c r="AK11" s="155" t="s">
        <v>586</v>
      </c>
      <c r="AL11" s="155" t="s">
        <v>586</v>
      </c>
      <c r="AM11" s="155" t="s">
        <v>586</v>
      </c>
      <c r="AN11" s="155" t="s">
        <v>586</v>
      </c>
      <c r="AO11" s="155" t="s">
        <v>586</v>
      </c>
    </row>
    <row r="12" spans="1:41" ht="15.45" customHeight="1" x14ac:dyDescent="0.2">
      <c r="A12" s="137"/>
      <c r="B12" s="228" t="s">
        <v>685</v>
      </c>
      <c r="C12" s="228"/>
      <c r="D12" s="228"/>
      <c r="E12" s="228"/>
      <c r="F12" s="126" t="s">
        <v>586</v>
      </c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  <c r="R12" s="126"/>
      <c r="S12" s="126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5"/>
      <c r="AE12" s="155"/>
      <c r="AF12" s="155"/>
      <c r="AG12" s="155"/>
      <c r="AH12" s="155"/>
      <c r="AI12" s="155"/>
      <c r="AJ12" s="155"/>
      <c r="AK12" s="155"/>
      <c r="AL12" s="155"/>
      <c r="AM12" s="155"/>
      <c r="AN12" s="155"/>
      <c r="AO12" s="155"/>
    </row>
    <row r="13" spans="1:41" ht="28.95" customHeight="1" x14ac:dyDescent="0.2">
      <c r="A13" s="137"/>
      <c r="B13" s="228" t="s">
        <v>686</v>
      </c>
      <c r="C13" s="228"/>
      <c r="D13" s="228"/>
      <c r="E13" s="228"/>
      <c r="F13" s="126"/>
      <c r="G13" s="126" t="s">
        <v>586</v>
      </c>
      <c r="H13" s="126"/>
      <c r="I13" s="126"/>
      <c r="J13" s="126"/>
      <c r="K13" s="126"/>
      <c r="L13" s="126"/>
      <c r="M13" s="126"/>
      <c r="N13" s="126"/>
      <c r="O13" s="126"/>
      <c r="P13" s="126"/>
      <c r="Q13" s="126"/>
      <c r="R13" s="126"/>
      <c r="S13" s="126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5"/>
      <c r="AE13" s="155"/>
      <c r="AF13" s="155"/>
      <c r="AG13" s="155"/>
      <c r="AH13" s="155"/>
      <c r="AI13" s="155"/>
      <c r="AJ13" s="155"/>
      <c r="AK13" s="155"/>
      <c r="AL13" s="155"/>
      <c r="AM13" s="155"/>
      <c r="AN13" s="155"/>
      <c r="AO13" s="155"/>
    </row>
    <row r="14" spans="1:41" ht="15.45" customHeight="1" x14ac:dyDescent="0.2">
      <c r="A14" s="137"/>
      <c r="B14" s="228" t="s">
        <v>687</v>
      </c>
      <c r="C14" s="228"/>
      <c r="D14" s="228"/>
      <c r="E14" s="228"/>
      <c r="F14" s="126"/>
      <c r="G14" s="126"/>
      <c r="H14" s="139" t="s">
        <v>586</v>
      </c>
      <c r="I14" s="126"/>
      <c r="J14" s="126"/>
      <c r="K14" s="126"/>
      <c r="L14" s="126"/>
      <c r="M14" s="126"/>
      <c r="N14" s="126"/>
      <c r="O14" s="126"/>
      <c r="P14" s="126"/>
      <c r="Q14" s="126"/>
      <c r="R14" s="126"/>
      <c r="S14" s="126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5"/>
      <c r="AE14" s="155"/>
      <c r="AF14" s="155"/>
      <c r="AG14" s="155"/>
      <c r="AH14" s="155"/>
      <c r="AI14" s="155"/>
      <c r="AJ14" s="155"/>
      <c r="AK14" s="155"/>
      <c r="AL14" s="155"/>
      <c r="AM14" s="155"/>
      <c r="AN14" s="155"/>
      <c r="AO14" s="155"/>
    </row>
    <row r="15" spans="1:41" ht="28.95" customHeight="1" x14ac:dyDescent="0.2">
      <c r="A15" s="137"/>
      <c r="B15" s="228" t="s">
        <v>688</v>
      </c>
      <c r="C15" s="228"/>
      <c r="D15" s="228"/>
      <c r="E15" s="228"/>
      <c r="F15" s="126"/>
      <c r="G15" s="126"/>
      <c r="H15" s="126"/>
      <c r="I15" s="140" t="s">
        <v>586</v>
      </c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5"/>
      <c r="AE15" s="155"/>
      <c r="AF15" s="155"/>
      <c r="AG15" s="155"/>
      <c r="AH15" s="155"/>
      <c r="AI15" s="155"/>
      <c r="AJ15" s="155"/>
      <c r="AK15" s="155"/>
      <c r="AL15" s="155"/>
      <c r="AM15" s="155"/>
      <c r="AN15" s="155"/>
      <c r="AO15" s="155"/>
    </row>
    <row r="16" spans="1:41" ht="15.45" customHeight="1" x14ac:dyDescent="0.2">
      <c r="A16" s="137"/>
      <c r="B16" s="228" t="s">
        <v>689</v>
      </c>
      <c r="C16" s="228"/>
      <c r="D16" s="228"/>
      <c r="E16" s="228"/>
      <c r="F16" s="126"/>
      <c r="G16" s="126"/>
      <c r="H16" s="141"/>
      <c r="I16" s="126"/>
      <c r="J16" s="126" t="s">
        <v>586</v>
      </c>
      <c r="K16" s="126"/>
      <c r="L16" s="126"/>
      <c r="M16" s="126"/>
      <c r="N16" s="126"/>
      <c r="O16" s="126"/>
      <c r="P16" s="126"/>
      <c r="Q16" s="126"/>
      <c r="R16" s="126"/>
      <c r="S16" s="126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5"/>
      <c r="AE16" s="155"/>
      <c r="AF16" s="155"/>
      <c r="AG16" s="155"/>
      <c r="AH16" s="155"/>
      <c r="AI16" s="155"/>
      <c r="AJ16" s="155"/>
      <c r="AK16" s="155"/>
      <c r="AL16" s="155"/>
      <c r="AM16" s="155"/>
      <c r="AN16" s="155"/>
      <c r="AO16" s="155"/>
    </row>
    <row r="17" spans="1:41" ht="15.45" customHeight="1" x14ac:dyDescent="0.2">
      <c r="A17" s="137"/>
      <c r="B17" s="228" t="s">
        <v>690</v>
      </c>
      <c r="C17" s="228"/>
      <c r="D17" s="228"/>
      <c r="E17" s="228"/>
      <c r="F17" s="126"/>
      <c r="G17" s="126"/>
      <c r="H17" s="126"/>
      <c r="I17" s="126"/>
      <c r="J17" s="126"/>
      <c r="K17" s="126" t="s">
        <v>586</v>
      </c>
      <c r="L17" s="126"/>
      <c r="M17" s="126"/>
      <c r="N17" s="126"/>
      <c r="O17" s="126"/>
      <c r="P17" s="126"/>
      <c r="Q17" s="126"/>
      <c r="R17" s="126"/>
      <c r="S17" s="126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5"/>
      <c r="AE17" s="155"/>
      <c r="AF17" s="155"/>
      <c r="AG17" s="155"/>
      <c r="AH17" s="155"/>
      <c r="AI17" s="155"/>
      <c r="AJ17" s="155"/>
      <c r="AK17" s="155"/>
      <c r="AL17" s="155"/>
      <c r="AM17" s="155"/>
      <c r="AN17" s="155"/>
      <c r="AO17" s="155"/>
    </row>
    <row r="18" spans="1:41" ht="28.95" customHeight="1" x14ac:dyDescent="0.2">
      <c r="A18" s="137"/>
      <c r="B18" s="228" t="s">
        <v>691</v>
      </c>
      <c r="C18" s="228"/>
      <c r="D18" s="228"/>
      <c r="E18" s="228"/>
      <c r="F18" s="126"/>
      <c r="G18" s="126"/>
      <c r="H18" s="126"/>
      <c r="I18" s="126"/>
      <c r="J18" s="126"/>
      <c r="K18" s="126"/>
      <c r="L18" s="126" t="s">
        <v>586</v>
      </c>
      <c r="M18" s="126"/>
      <c r="N18" s="126"/>
      <c r="O18" s="126"/>
      <c r="P18" s="126"/>
      <c r="Q18" s="126"/>
      <c r="R18" s="126"/>
      <c r="S18" s="126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5"/>
      <c r="AE18" s="155"/>
      <c r="AF18" s="155"/>
      <c r="AG18" s="155"/>
      <c r="AH18" s="155"/>
      <c r="AI18" s="155"/>
      <c r="AJ18" s="155"/>
      <c r="AK18" s="155"/>
      <c r="AL18" s="155"/>
      <c r="AM18" s="155"/>
      <c r="AN18" s="155"/>
      <c r="AO18" s="155"/>
    </row>
    <row r="19" spans="1:41" ht="28.95" customHeight="1" x14ac:dyDescent="0.2">
      <c r="A19" s="137"/>
      <c r="B19" s="228" t="s">
        <v>692</v>
      </c>
      <c r="C19" s="228"/>
      <c r="D19" s="228"/>
      <c r="E19" s="228"/>
      <c r="F19" s="126"/>
      <c r="G19" s="126"/>
      <c r="H19" s="126"/>
      <c r="I19" s="126"/>
      <c r="J19" s="126"/>
      <c r="K19" s="126"/>
      <c r="L19" s="126"/>
      <c r="M19" s="126" t="s">
        <v>586</v>
      </c>
      <c r="N19" s="126"/>
      <c r="O19" s="126"/>
      <c r="P19" s="126"/>
      <c r="Q19" s="126"/>
      <c r="R19" s="126"/>
      <c r="S19" s="126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5"/>
      <c r="AE19" s="155"/>
      <c r="AF19" s="155"/>
      <c r="AG19" s="155"/>
      <c r="AH19" s="155"/>
      <c r="AI19" s="155"/>
      <c r="AJ19" s="155"/>
      <c r="AK19" s="155"/>
      <c r="AL19" s="155"/>
      <c r="AM19" s="155"/>
      <c r="AN19" s="155"/>
      <c r="AO19" s="155"/>
    </row>
    <row r="20" spans="1:41" ht="15.45" customHeight="1" x14ac:dyDescent="0.2">
      <c r="A20" s="137"/>
      <c r="B20" s="228" t="s">
        <v>693</v>
      </c>
      <c r="C20" s="228"/>
      <c r="D20" s="228"/>
      <c r="E20" s="228"/>
      <c r="F20" s="126"/>
      <c r="G20" s="126"/>
      <c r="H20" s="126"/>
      <c r="I20" s="126"/>
      <c r="J20" s="126"/>
      <c r="K20" s="126"/>
      <c r="L20" s="126"/>
      <c r="M20" s="126"/>
      <c r="N20" s="126" t="s">
        <v>586</v>
      </c>
      <c r="O20" s="126"/>
      <c r="P20" s="126"/>
      <c r="Q20" s="126"/>
      <c r="R20" s="126"/>
      <c r="S20" s="126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5"/>
      <c r="AE20" s="155"/>
      <c r="AF20" s="155"/>
      <c r="AG20" s="155"/>
      <c r="AH20" s="155"/>
      <c r="AI20" s="155"/>
      <c r="AJ20" s="155"/>
      <c r="AK20" s="155"/>
      <c r="AL20" s="155"/>
      <c r="AM20" s="155"/>
      <c r="AN20" s="155"/>
      <c r="AO20" s="155"/>
    </row>
    <row r="21" spans="1:41" ht="28.95" customHeight="1" x14ac:dyDescent="0.2">
      <c r="A21" s="137"/>
      <c r="B21" s="228" t="s">
        <v>694</v>
      </c>
      <c r="C21" s="228"/>
      <c r="D21" s="228"/>
      <c r="E21" s="228"/>
      <c r="F21" s="126"/>
      <c r="G21" s="126"/>
      <c r="H21" s="126"/>
      <c r="I21" s="126"/>
      <c r="J21" s="126"/>
      <c r="K21" s="126"/>
      <c r="L21" s="126"/>
      <c r="M21" s="126"/>
      <c r="N21" s="126"/>
      <c r="O21" s="126" t="s">
        <v>586</v>
      </c>
      <c r="P21" s="126"/>
      <c r="Q21" s="126"/>
      <c r="R21" s="126"/>
      <c r="S21" s="126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5"/>
      <c r="AE21" s="155"/>
      <c r="AF21" s="155"/>
      <c r="AG21" s="155"/>
      <c r="AH21" s="155"/>
      <c r="AI21" s="155"/>
      <c r="AJ21" s="155"/>
      <c r="AK21" s="155"/>
      <c r="AL21" s="155"/>
      <c r="AM21" s="155"/>
      <c r="AN21" s="155"/>
      <c r="AO21" s="155"/>
    </row>
    <row r="22" spans="1:41" ht="15.45" customHeight="1" x14ac:dyDescent="0.2">
      <c r="A22" s="137"/>
      <c r="B22" s="228" t="s">
        <v>695</v>
      </c>
      <c r="C22" s="228"/>
      <c r="D22" s="228"/>
      <c r="E22" s="228"/>
      <c r="F22" s="126"/>
      <c r="G22" s="126"/>
      <c r="H22" s="126"/>
      <c r="I22" s="126"/>
      <c r="J22" s="126"/>
      <c r="K22" s="141"/>
      <c r="L22" s="126"/>
      <c r="M22" s="126"/>
      <c r="N22" s="126"/>
      <c r="O22" s="126"/>
      <c r="P22" s="126" t="s">
        <v>586</v>
      </c>
      <c r="Q22" s="126"/>
      <c r="R22" s="126"/>
      <c r="S22" s="126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5"/>
      <c r="AE22" s="155"/>
      <c r="AF22" s="155"/>
      <c r="AG22" s="155"/>
      <c r="AH22" s="155"/>
      <c r="AI22" s="155"/>
      <c r="AJ22" s="155"/>
      <c r="AK22" s="155"/>
      <c r="AL22" s="155"/>
      <c r="AM22" s="155"/>
      <c r="AN22" s="155"/>
      <c r="AO22" s="155"/>
    </row>
    <row r="23" spans="1:41" ht="15.45" customHeight="1" x14ac:dyDescent="0.2">
      <c r="A23" s="137"/>
      <c r="B23" s="228" t="s">
        <v>696</v>
      </c>
      <c r="C23" s="228"/>
      <c r="D23" s="228"/>
      <c r="E23" s="228"/>
      <c r="F23" s="126"/>
      <c r="G23" s="126"/>
      <c r="H23" s="126"/>
      <c r="I23" s="126"/>
      <c r="J23" s="126"/>
      <c r="K23" s="126"/>
      <c r="L23" s="126"/>
      <c r="M23" s="126"/>
      <c r="N23" s="126"/>
      <c r="O23" s="126"/>
      <c r="P23" s="126"/>
      <c r="Q23" s="126" t="s">
        <v>586</v>
      </c>
      <c r="R23" s="126"/>
      <c r="S23" s="126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5"/>
      <c r="AE23" s="155"/>
      <c r="AF23" s="155"/>
      <c r="AG23" s="155"/>
      <c r="AH23" s="155"/>
      <c r="AI23" s="155"/>
      <c r="AJ23" s="155"/>
      <c r="AK23" s="155"/>
      <c r="AL23" s="155"/>
      <c r="AM23" s="155"/>
      <c r="AN23" s="155"/>
      <c r="AO23" s="155"/>
    </row>
    <row r="24" spans="1:41" ht="15.45" customHeight="1" x14ac:dyDescent="0.2">
      <c r="A24" s="137"/>
      <c r="B24" s="228" t="s">
        <v>697</v>
      </c>
      <c r="C24" s="228"/>
      <c r="D24" s="228"/>
      <c r="E24" s="228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 t="s">
        <v>586</v>
      </c>
      <c r="S24" s="126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5"/>
      <c r="AE24" s="155"/>
      <c r="AF24" s="155"/>
      <c r="AG24" s="155"/>
      <c r="AH24" s="155"/>
      <c r="AI24" s="155"/>
      <c r="AJ24" s="155"/>
      <c r="AK24" s="155"/>
      <c r="AL24" s="155"/>
      <c r="AM24" s="155"/>
      <c r="AN24" s="155"/>
      <c r="AO24" s="155"/>
    </row>
    <row r="25" spans="1:41" ht="28.95" customHeight="1" x14ac:dyDescent="0.2">
      <c r="A25" s="137"/>
      <c r="B25" s="228" t="s">
        <v>698</v>
      </c>
      <c r="C25" s="228"/>
      <c r="D25" s="228"/>
      <c r="E25" s="228"/>
      <c r="F25" s="141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 t="s">
        <v>586</v>
      </c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5"/>
      <c r="AE25" s="155"/>
      <c r="AF25" s="155"/>
      <c r="AG25" s="155"/>
      <c r="AH25" s="155"/>
      <c r="AI25" s="155"/>
      <c r="AJ25" s="155"/>
      <c r="AK25" s="155"/>
      <c r="AL25" s="155"/>
      <c r="AM25" s="155"/>
      <c r="AN25" s="155"/>
      <c r="AO25" s="155"/>
    </row>
    <row r="26" spans="1:41" ht="15.45" customHeight="1" x14ac:dyDescent="0.2">
      <c r="A26" s="137"/>
      <c r="B26" s="228" t="s">
        <v>699</v>
      </c>
      <c r="C26" s="228"/>
      <c r="D26" s="228"/>
      <c r="E26" s="228"/>
      <c r="F26" s="126"/>
      <c r="G26" s="126"/>
      <c r="H26" s="126"/>
      <c r="I26" s="126"/>
      <c r="J26" s="126"/>
      <c r="K26" s="126"/>
      <c r="L26" s="140"/>
      <c r="M26" s="126"/>
      <c r="N26" s="126"/>
      <c r="O26" s="126"/>
      <c r="P26" s="126"/>
      <c r="Q26" s="126"/>
      <c r="R26" s="126"/>
      <c r="S26" s="126"/>
      <c r="T26" s="155" t="s">
        <v>586</v>
      </c>
      <c r="U26" s="155"/>
      <c r="V26" s="155"/>
      <c r="W26" s="155"/>
      <c r="X26" s="155"/>
      <c r="Y26" s="155"/>
      <c r="Z26" s="155"/>
      <c r="AA26" s="155"/>
      <c r="AB26" s="155"/>
      <c r="AC26" s="155"/>
      <c r="AD26" s="155"/>
      <c r="AE26" s="155"/>
      <c r="AF26" s="155"/>
      <c r="AG26" s="155"/>
      <c r="AH26" s="155"/>
      <c r="AI26" s="155"/>
      <c r="AJ26" s="155"/>
      <c r="AK26" s="155"/>
      <c r="AL26" s="155"/>
      <c r="AM26" s="155"/>
      <c r="AN26" s="155"/>
      <c r="AO26" s="155"/>
    </row>
    <row r="27" spans="1:41" ht="28.95" customHeight="1" x14ac:dyDescent="0.2">
      <c r="A27" s="137"/>
      <c r="B27" s="229" t="s">
        <v>700</v>
      </c>
      <c r="C27" s="229"/>
      <c r="D27" s="229"/>
      <c r="E27" s="229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55"/>
      <c r="U27" s="155" t="s">
        <v>586</v>
      </c>
      <c r="V27" s="155"/>
      <c r="W27" s="155"/>
      <c r="X27" s="155"/>
      <c r="Y27" s="155"/>
      <c r="Z27" s="155"/>
      <c r="AA27" s="155"/>
      <c r="AB27" s="155"/>
      <c r="AC27" s="155"/>
      <c r="AD27" s="155"/>
      <c r="AE27" s="155"/>
      <c r="AF27" s="155"/>
      <c r="AG27" s="155"/>
      <c r="AH27" s="155"/>
      <c r="AI27" s="155"/>
      <c r="AJ27" s="155"/>
      <c r="AK27" s="155"/>
      <c r="AL27" s="155"/>
      <c r="AM27" s="155"/>
      <c r="AN27" s="155"/>
      <c r="AO27" s="155"/>
    </row>
    <row r="28" spans="1:41" ht="28.95" customHeight="1" x14ac:dyDescent="0.2">
      <c r="A28" s="137"/>
      <c r="B28" s="228" t="s">
        <v>701</v>
      </c>
      <c r="C28" s="228"/>
      <c r="D28" s="228"/>
      <c r="E28" s="228"/>
      <c r="F28" s="126"/>
      <c r="G28" s="126"/>
      <c r="H28" s="126"/>
      <c r="I28" s="141"/>
      <c r="J28" s="126"/>
      <c r="K28" s="126"/>
      <c r="L28" s="141"/>
      <c r="M28" s="126"/>
      <c r="N28" s="126"/>
      <c r="O28" s="126"/>
      <c r="P28" s="126"/>
      <c r="Q28" s="126"/>
      <c r="R28" s="126"/>
      <c r="S28" s="126"/>
      <c r="T28" s="155"/>
      <c r="U28" s="155"/>
      <c r="V28" s="155" t="s">
        <v>586</v>
      </c>
      <c r="W28" s="155"/>
      <c r="X28" s="155"/>
      <c r="Y28" s="155"/>
      <c r="Z28" s="155"/>
      <c r="AA28" s="155"/>
      <c r="AB28" s="155"/>
      <c r="AC28" s="155"/>
      <c r="AD28" s="155"/>
      <c r="AE28" s="155"/>
      <c r="AF28" s="155"/>
      <c r="AG28" s="155"/>
      <c r="AH28" s="155"/>
      <c r="AI28" s="155"/>
      <c r="AJ28" s="155"/>
      <c r="AK28" s="155"/>
      <c r="AL28" s="155"/>
      <c r="AM28" s="155"/>
      <c r="AN28" s="155"/>
      <c r="AO28" s="155"/>
    </row>
    <row r="29" spans="1:41" ht="28.95" customHeight="1" x14ac:dyDescent="0.2">
      <c r="A29" s="137"/>
      <c r="B29" s="228" t="s">
        <v>702</v>
      </c>
      <c r="C29" s="228"/>
      <c r="D29" s="228"/>
      <c r="E29" s="228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55"/>
      <c r="U29" s="155"/>
      <c r="V29" s="155"/>
      <c r="W29" s="155" t="s">
        <v>586</v>
      </c>
      <c r="X29" s="155"/>
      <c r="Y29" s="155"/>
      <c r="Z29" s="155"/>
      <c r="AA29" s="155"/>
      <c r="AB29" s="155"/>
      <c r="AC29" s="155"/>
      <c r="AD29" s="155"/>
      <c r="AE29" s="155"/>
      <c r="AF29" s="155"/>
      <c r="AG29" s="155"/>
      <c r="AH29" s="155"/>
      <c r="AI29" s="155"/>
      <c r="AJ29" s="155"/>
      <c r="AK29" s="155"/>
      <c r="AL29" s="155"/>
      <c r="AM29" s="155"/>
      <c r="AN29" s="155"/>
      <c r="AO29" s="155"/>
    </row>
    <row r="30" spans="1:41" ht="15.45" customHeight="1" x14ac:dyDescent="0.2">
      <c r="A30" s="137"/>
      <c r="B30" s="232" t="s">
        <v>703</v>
      </c>
      <c r="C30" s="232"/>
      <c r="D30" s="232"/>
      <c r="E30" s="232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55"/>
      <c r="U30" s="155"/>
      <c r="V30" s="155"/>
      <c r="W30" s="155"/>
      <c r="X30" s="155" t="s">
        <v>586</v>
      </c>
      <c r="Y30" s="155"/>
      <c r="Z30" s="155"/>
      <c r="AA30" s="155"/>
      <c r="AB30" s="155"/>
      <c r="AC30" s="155"/>
      <c r="AD30" s="155"/>
      <c r="AE30" s="155"/>
      <c r="AF30" s="155"/>
      <c r="AG30" s="155"/>
      <c r="AH30" s="155"/>
      <c r="AI30" s="155"/>
      <c r="AJ30" s="155"/>
      <c r="AK30" s="155"/>
      <c r="AL30" s="155"/>
      <c r="AM30" s="155"/>
      <c r="AN30" s="155"/>
      <c r="AO30" s="155"/>
    </row>
    <row r="31" spans="1:41" ht="28.95" customHeight="1" x14ac:dyDescent="0.2">
      <c r="A31" s="137"/>
      <c r="B31" s="228" t="s">
        <v>704</v>
      </c>
      <c r="C31" s="228"/>
      <c r="D31" s="228"/>
      <c r="E31" s="228"/>
      <c r="F31" s="126"/>
      <c r="G31" s="126"/>
      <c r="H31" s="141"/>
      <c r="I31" s="126"/>
      <c r="J31" s="126"/>
      <c r="K31" s="126"/>
      <c r="L31" s="126"/>
      <c r="M31" s="126"/>
      <c r="N31" s="126"/>
      <c r="O31" s="126"/>
      <c r="P31" s="126"/>
      <c r="Q31" s="126"/>
      <c r="R31" s="126"/>
      <c r="S31" s="126"/>
      <c r="T31" s="155"/>
      <c r="U31" s="155"/>
      <c r="V31" s="155"/>
      <c r="W31" s="155"/>
      <c r="X31" s="155"/>
      <c r="Y31" s="155" t="s">
        <v>586</v>
      </c>
      <c r="Z31" s="155"/>
      <c r="AA31" s="155"/>
      <c r="AB31" s="155"/>
      <c r="AC31" s="155"/>
      <c r="AD31" s="155"/>
      <c r="AE31" s="155"/>
      <c r="AF31" s="155"/>
      <c r="AG31" s="155"/>
      <c r="AH31" s="155"/>
      <c r="AI31" s="155"/>
      <c r="AJ31" s="155"/>
      <c r="AK31" s="155"/>
      <c r="AL31" s="155"/>
      <c r="AM31" s="155"/>
      <c r="AN31" s="155"/>
      <c r="AO31" s="155"/>
    </row>
    <row r="32" spans="1:41" ht="15.45" customHeight="1" x14ac:dyDescent="0.2">
      <c r="A32" s="137"/>
      <c r="B32" s="230" t="s">
        <v>705</v>
      </c>
      <c r="C32" s="230"/>
      <c r="D32" s="230"/>
      <c r="E32" s="230"/>
      <c r="F32" s="150"/>
      <c r="G32" s="150"/>
      <c r="H32" s="150"/>
      <c r="I32" s="126"/>
      <c r="J32" s="150"/>
      <c r="K32" s="150"/>
      <c r="L32" s="150"/>
      <c r="M32" s="126"/>
      <c r="N32" s="126"/>
      <c r="O32" s="150"/>
      <c r="P32" s="150"/>
      <c r="Q32" s="150"/>
      <c r="R32" s="150"/>
      <c r="S32" s="150"/>
      <c r="T32" s="156"/>
      <c r="U32" s="156"/>
      <c r="V32" s="156"/>
      <c r="W32" s="156"/>
      <c r="X32" s="156"/>
      <c r="Y32" s="156"/>
      <c r="Z32" s="156" t="s">
        <v>586</v>
      </c>
      <c r="AA32" s="156"/>
      <c r="AB32" s="156"/>
      <c r="AC32" s="156"/>
      <c r="AD32" s="156"/>
      <c r="AE32" s="156"/>
      <c r="AF32" s="156"/>
      <c r="AG32" s="156"/>
      <c r="AH32" s="156"/>
      <c r="AI32" s="156"/>
      <c r="AJ32" s="156"/>
      <c r="AK32" s="156"/>
      <c r="AL32" s="156"/>
      <c r="AM32" s="156"/>
      <c r="AN32" s="156"/>
      <c r="AO32" s="156"/>
    </row>
    <row r="33" spans="1:41" ht="15.45" customHeight="1" x14ac:dyDescent="0.2">
      <c r="A33" s="137"/>
      <c r="B33" s="231" t="s">
        <v>706</v>
      </c>
      <c r="C33" s="231"/>
      <c r="D33" s="231"/>
      <c r="E33" s="231"/>
      <c r="F33" s="152"/>
      <c r="G33" s="152"/>
      <c r="H33" s="152"/>
      <c r="I33" s="153"/>
      <c r="J33" s="152"/>
      <c r="K33" s="152"/>
      <c r="L33" s="152"/>
      <c r="M33" s="153"/>
      <c r="N33" s="153"/>
      <c r="O33" s="152"/>
      <c r="P33" s="152"/>
      <c r="Q33" s="152"/>
      <c r="R33" s="152"/>
      <c r="S33" s="152"/>
      <c r="T33" s="157"/>
      <c r="U33" s="157"/>
      <c r="V33" s="157"/>
      <c r="W33" s="157"/>
      <c r="X33" s="157"/>
      <c r="Y33" s="157"/>
      <c r="Z33" s="157"/>
      <c r="AA33" s="157" t="s">
        <v>586</v>
      </c>
      <c r="AB33" s="157"/>
      <c r="AC33" s="157"/>
      <c r="AD33" s="157"/>
      <c r="AE33" s="157"/>
      <c r="AF33" s="157"/>
      <c r="AG33" s="157"/>
      <c r="AH33" s="157"/>
      <c r="AI33" s="157"/>
      <c r="AJ33" s="157"/>
      <c r="AK33" s="157"/>
      <c r="AL33" s="157"/>
      <c r="AM33" s="157"/>
      <c r="AN33" s="157"/>
      <c r="AO33" s="157"/>
    </row>
    <row r="34" spans="1:41" ht="28.95" customHeight="1" x14ac:dyDescent="0.2">
      <c r="A34" s="137"/>
      <c r="B34" s="231" t="s">
        <v>707</v>
      </c>
      <c r="C34" s="231"/>
      <c r="D34" s="231"/>
      <c r="E34" s="231"/>
      <c r="F34" s="152"/>
      <c r="G34" s="152"/>
      <c r="H34" s="152"/>
      <c r="I34" s="153"/>
      <c r="J34" s="152"/>
      <c r="K34" s="152"/>
      <c r="L34" s="152"/>
      <c r="M34" s="153"/>
      <c r="N34" s="153"/>
      <c r="O34" s="152"/>
      <c r="P34" s="152"/>
      <c r="Q34" s="152"/>
      <c r="R34" s="152"/>
      <c r="S34" s="152"/>
      <c r="T34" s="157"/>
      <c r="U34" s="157"/>
      <c r="V34" s="157"/>
      <c r="W34" s="157"/>
      <c r="X34" s="157"/>
      <c r="Y34" s="157"/>
      <c r="Z34" s="157"/>
      <c r="AA34" s="157"/>
      <c r="AB34" s="157" t="s">
        <v>586</v>
      </c>
      <c r="AC34" s="157"/>
      <c r="AD34" s="157"/>
      <c r="AE34" s="157"/>
      <c r="AF34" s="157"/>
      <c r="AG34" s="157"/>
      <c r="AH34" s="157"/>
      <c r="AI34" s="157"/>
      <c r="AJ34" s="157"/>
      <c r="AK34" s="157"/>
      <c r="AL34" s="157"/>
      <c r="AM34" s="157"/>
      <c r="AN34" s="157"/>
      <c r="AO34" s="157"/>
    </row>
    <row r="35" spans="1:41" ht="28.95" customHeight="1" x14ac:dyDescent="0.2">
      <c r="A35" s="137"/>
      <c r="B35" s="231" t="s">
        <v>708</v>
      </c>
      <c r="C35" s="231"/>
      <c r="D35" s="231"/>
      <c r="E35" s="231"/>
      <c r="F35" s="152"/>
      <c r="G35" s="152"/>
      <c r="H35" s="152"/>
      <c r="I35" s="153"/>
      <c r="J35" s="152"/>
      <c r="K35" s="152"/>
      <c r="L35" s="152"/>
      <c r="M35" s="153"/>
      <c r="N35" s="153"/>
      <c r="O35" s="152"/>
      <c r="P35" s="152"/>
      <c r="Q35" s="152"/>
      <c r="R35" s="152"/>
      <c r="S35" s="152"/>
      <c r="T35" s="157"/>
      <c r="U35" s="157"/>
      <c r="V35" s="157"/>
      <c r="W35" s="157"/>
      <c r="X35" s="157"/>
      <c r="Y35" s="157"/>
      <c r="Z35" s="157"/>
      <c r="AA35" s="157"/>
      <c r="AB35" s="157"/>
      <c r="AC35" s="157" t="s">
        <v>586</v>
      </c>
      <c r="AD35" s="157"/>
      <c r="AE35" s="157"/>
      <c r="AF35" s="157"/>
      <c r="AG35" s="157"/>
      <c r="AH35" s="157"/>
      <c r="AI35" s="157"/>
      <c r="AJ35" s="157"/>
      <c r="AK35" s="157"/>
      <c r="AL35" s="157"/>
      <c r="AM35" s="157"/>
      <c r="AN35" s="157"/>
      <c r="AO35" s="157"/>
    </row>
    <row r="36" spans="1:41" ht="15.45" customHeight="1" x14ac:dyDescent="0.2">
      <c r="A36" s="161"/>
      <c r="B36" s="233" t="s">
        <v>709</v>
      </c>
      <c r="C36" s="233"/>
      <c r="D36" s="233"/>
      <c r="E36" s="233"/>
      <c r="F36" s="153"/>
      <c r="G36" s="153"/>
      <c r="H36" s="153"/>
      <c r="I36" s="153"/>
      <c r="J36" s="153"/>
      <c r="K36" s="153"/>
      <c r="L36" s="153"/>
      <c r="M36" s="153"/>
      <c r="N36" s="153"/>
      <c r="O36" s="153"/>
      <c r="P36" s="153"/>
      <c r="Q36" s="153"/>
      <c r="R36" s="153"/>
      <c r="S36" s="153"/>
      <c r="T36" s="162"/>
      <c r="U36" s="162"/>
      <c r="V36" s="162"/>
      <c r="W36" s="162"/>
      <c r="X36" s="162"/>
      <c r="Y36" s="162"/>
      <c r="Z36" s="162"/>
      <c r="AA36" s="162"/>
      <c r="AB36" s="162"/>
      <c r="AC36" s="162"/>
      <c r="AD36" s="162" t="s">
        <v>586</v>
      </c>
      <c r="AE36" s="162"/>
      <c r="AF36" s="162"/>
      <c r="AG36" s="162"/>
      <c r="AH36" s="162"/>
      <c r="AI36" s="162"/>
      <c r="AJ36" s="162"/>
      <c r="AK36" s="162"/>
      <c r="AL36" s="162"/>
      <c r="AM36" s="162"/>
      <c r="AN36" s="162"/>
      <c r="AO36" s="162"/>
    </row>
    <row r="37" spans="1:41" ht="15.45" customHeight="1" x14ac:dyDescent="0.2">
      <c r="A37" s="163"/>
      <c r="B37" s="234" t="s">
        <v>710</v>
      </c>
      <c r="C37" s="234"/>
      <c r="D37" s="234"/>
      <c r="E37" s="234"/>
      <c r="F37" s="126"/>
      <c r="G37" s="126"/>
      <c r="H37" s="126"/>
      <c r="I37" s="126"/>
      <c r="J37" s="126"/>
      <c r="K37" s="126"/>
      <c r="L37" s="126"/>
      <c r="M37" s="126"/>
      <c r="N37" s="126"/>
      <c r="O37" s="126"/>
      <c r="P37" s="126"/>
      <c r="Q37" s="126"/>
      <c r="R37" s="126"/>
      <c r="S37" s="126"/>
      <c r="T37" s="155"/>
      <c r="U37" s="155"/>
      <c r="V37" s="155"/>
      <c r="W37" s="155"/>
      <c r="X37" s="155"/>
      <c r="Y37" s="155"/>
      <c r="Z37" s="155"/>
      <c r="AA37" s="155"/>
      <c r="AB37" s="155"/>
      <c r="AC37" s="155"/>
      <c r="AD37" s="155"/>
      <c r="AE37" s="155" t="s">
        <v>586</v>
      </c>
      <c r="AF37" s="155"/>
      <c r="AG37" s="155"/>
      <c r="AH37" s="155"/>
      <c r="AI37" s="155"/>
      <c r="AJ37" s="155"/>
      <c r="AK37" s="155"/>
      <c r="AL37" s="155"/>
      <c r="AM37" s="155"/>
      <c r="AN37" s="155"/>
      <c r="AO37" s="155"/>
    </row>
    <row r="38" spans="1:41" ht="28.95" customHeight="1" x14ac:dyDescent="0.2">
      <c r="A38" s="163"/>
      <c r="B38" s="234" t="s">
        <v>711</v>
      </c>
      <c r="C38" s="234"/>
      <c r="D38" s="234"/>
      <c r="E38" s="234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55"/>
      <c r="U38" s="155"/>
      <c r="V38" s="155"/>
      <c r="W38" s="155"/>
      <c r="X38" s="155"/>
      <c r="Y38" s="155"/>
      <c r="Z38" s="155"/>
      <c r="AA38" s="155"/>
      <c r="AB38" s="155"/>
      <c r="AC38" s="155"/>
      <c r="AD38" s="155"/>
      <c r="AE38" s="155"/>
      <c r="AF38" s="155" t="s">
        <v>586</v>
      </c>
      <c r="AG38" s="155"/>
      <c r="AH38" s="155"/>
      <c r="AI38" s="155"/>
      <c r="AJ38" s="155"/>
      <c r="AK38" s="155"/>
      <c r="AL38" s="155"/>
      <c r="AM38" s="155"/>
      <c r="AN38" s="155"/>
      <c r="AO38" s="155"/>
    </row>
    <row r="39" spans="1:41" ht="15.45" customHeight="1" x14ac:dyDescent="0.2">
      <c r="A39" s="163"/>
      <c r="B39" s="234" t="s">
        <v>712</v>
      </c>
      <c r="C39" s="234"/>
      <c r="D39" s="234"/>
      <c r="E39" s="234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55"/>
      <c r="U39" s="155"/>
      <c r="V39" s="155"/>
      <c r="W39" s="155"/>
      <c r="X39" s="155"/>
      <c r="Y39" s="155"/>
      <c r="Z39" s="155"/>
      <c r="AA39" s="155"/>
      <c r="AB39" s="155"/>
      <c r="AC39" s="155"/>
      <c r="AD39" s="155"/>
      <c r="AE39" s="155"/>
      <c r="AF39" s="155"/>
      <c r="AG39" s="155" t="s">
        <v>586</v>
      </c>
      <c r="AH39" s="155"/>
      <c r="AI39" s="155"/>
      <c r="AJ39" s="155"/>
      <c r="AK39" s="155"/>
      <c r="AL39" s="155"/>
      <c r="AM39" s="155"/>
      <c r="AN39" s="155"/>
      <c r="AO39" s="155"/>
    </row>
    <row r="40" spans="1:41" ht="15.45" customHeight="1" x14ac:dyDescent="0.2">
      <c r="A40" s="163"/>
      <c r="B40" s="234" t="s">
        <v>713</v>
      </c>
      <c r="C40" s="234"/>
      <c r="D40" s="234"/>
      <c r="E40" s="234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55"/>
      <c r="U40" s="155"/>
      <c r="V40" s="155"/>
      <c r="W40" s="155"/>
      <c r="X40" s="155"/>
      <c r="Y40" s="155"/>
      <c r="Z40" s="155"/>
      <c r="AA40" s="155"/>
      <c r="AB40" s="155"/>
      <c r="AC40" s="155"/>
      <c r="AD40" s="155"/>
      <c r="AE40" s="155"/>
      <c r="AF40" s="155"/>
      <c r="AG40" s="155"/>
      <c r="AH40" s="155" t="s">
        <v>586</v>
      </c>
      <c r="AI40" s="155"/>
      <c r="AJ40" s="155"/>
      <c r="AK40" s="155"/>
      <c r="AL40" s="155"/>
      <c r="AM40" s="155"/>
      <c r="AN40" s="155"/>
      <c r="AO40" s="155"/>
    </row>
    <row r="41" spans="1:41" ht="28.95" customHeight="1" x14ac:dyDescent="0.2">
      <c r="A41" s="163"/>
      <c r="B41" s="234" t="s">
        <v>714</v>
      </c>
      <c r="C41" s="234"/>
      <c r="D41" s="234"/>
      <c r="E41" s="234"/>
      <c r="F41" s="126"/>
      <c r="G41" s="126"/>
      <c r="H41" s="126"/>
      <c r="I41" s="126"/>
      <c r="J41" s="126"/>
      <c r="K41" s="126"/>
      <c r="L41" s="126"/>
      <c r="M41" s="126"/>
      <c r="N41" s="126"/>
      <c r="O41" s="126"/>
      <c r="P41" s="126"/>
      <c r="Q41" s="126"/>
      <c r="R41" s="126"/>
      <c r="S41" s="126"/>
      <c r="T41" s="155"/>
      <c r="U41" s="155"/>
      <c r="V41" s="155"/>
      <c r="W41" s="155"/>
      <c r="X41" s="155"/>
      <c r="Y41" s="155"/>
      <c r="Z41" s="155"/>
      <c r="AA41" s="155"/>
      <c r="AB41" s="155"/>
      <c r="AC41" s="155"/>
      <c r="AD41" s="155"/>
      <c r="AE41" s="155"/>
      <c r="AF41" s="155"/>
      <c r="AG41" s="155"/>
      <c r="AH41" s="155"/>
      <c r="AI41" s="155" t="s">
        <v>586</v>
      </c>
      <c r="AJ41" s="155"/>
      <c r="AK41" s="155"/>
      <c r="AL41" s="155"/>
      <c r="AM41" s="155"/>
      <c r="AN41" s="155"/>
      <c r="AO41" s="155"/>
    </row>
    <row r="42" spans="1:41" ht="28.95" customHeight="1" x14ac:dyDescent="0.2">
      <c r="A42" s="163"/>
      <c r="B42" s="234" t="s">
        <v>715</v>
      </c>
      <c r="C42" s="234"/>
      <c r="D42" s="234"/>
      <c r="E42" s="234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55"/>
      <c r="U42" s="155"/>
      <c r="V42" s="155"/>
      <c r="W42" s="155"/>
      <c r="X42" s="155"/>
      <c r="Y42" s="155"/>
      <c r="Z42" s="155"/>
      <c r="AA42" s="155"/>
      <c r="AB42" s="155"/>
      <c r="AC42" s="155"/>
      <c r="AD42" s="155"/>
      <c r="AE42" s="155"/>
      <c r="AF42" s="155"/>
      <c r="AG42" s="155"/>
      <c r="AH42" s="155"/>
      <c r="AI42" s="155"/>
      <c r="AJ42" s="155" t="s">
        <v>586</v>
      </c>
      <c r="AK42" s="155"/>
      <c r="AL42" s="155"/>
      <c r="AM42" s="155"/>
      <c r="AN42" s="155"/>
      <c r="AO42" s="155"/>
    </row>
    <row r="43" spans="1:41" ht="28.95" customHeight="1" x14ac:dyDescent="0.2">
      <c r="A43" s="163"/>
      <c r="B43" s="234" t="s">
        <v>716</v>
      </c>
      <c r="C43" s="234"/>
      <c r="D43" s="234"/>
      <c r="E43" s="234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55"/>
      <c r="U43" s="155"/>
      <c r="V43" s="155"/>
      <c r="W43" s="155"/>
      <c r="X43" s="155"/>
      <c r="Y43" s="155"/>
      <c r="Z43" s="155"/>
      <c r="AA43" s="155"/>
      <c r="AB43" s="155"/>
      <c r="AC43" s="155"/>
      <c r="AD43" s="155"/>
      <c r="AE43" s="155"/>
      <c r="AF43" s="155"/>
      <c r="AG43" s="155"/>
      <c r="AH43" s="155"/>
      <c r="AI43" s="155"/>
      <c r="AJ43" s="155"/>
      <c r="AK43" s="155" t="s">
        <v>586</v>
      </c>
      <c r="AL43" s="155"/>
      <c r="AM43" s="155"/>
      <c r="AN43" s="155"/>
      <c r="AO43" s="155"/>
    </row>
    <row r="44" spans="1:41" ht="28.95" customHeight="1" x14ac:dyDescent="0.2">
      <c r="A44" s="163"/>
      <c r="B44" s="234" t="s">
        <v>717</v>
      </c>
      <c r="C44" s="234"/>
      <c r="D44" s="234"/>
      <c r="E44" s="234"/>
      <c r="F44" s="126"/>
      <c r="G44" s="141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55"/>
      <c r="U44" s="155"/>
      <c r="V44" s="155"/>
      <c r="W44" s="155"/>
      <c r="X44" s="155"/>
      <c r="Y44" s="155"/>
      <c r="Z44" s="155"/>
      <c r="AA44" s="155"/>
      <c r="AB44" s="155"/>
      <c r="AC44" s="155"/>
      <c r="AD44" s="155"/>
      <c r="AE44" s="155"/>
      <c r="AF44" s="155"/>
      <c r="AG44" s="155"/>
      <c r="AH44" s="155"/>
      <c r="AI44" s="155"/>
      <c r="AJ44" s="155"/>
      <c r="AK44" s="155"/>
      <c r="AL44" s="155" t="s">
        <v>586</v>
      </c>
      <c r="AM44" s="155"/>
      <c r="AN44" s="155"/>
      <c r="AO44" s="155"/>
    </row>
    <row r="45" spans="1:41" ht="28.95" customHeight="1" x14ac:dyDescent="0.2">
      <c r="A45" s="163"/>
      <c r="B45" s="234" t="s">
        <v>718</v>
      </c>
      <c r="C45" s="234"/>
      <c r="D45" s="234"/>
      <c r="E45" s="234"/>
      <c r="F45" s="126"/>
      <c r="G45" s="141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55"/>
      <c r="U45" s="155"/>
      <c r="V45" s="155"/>
      <c r="W45" s="155"/>
      <c r="X45" s="155"/>
      <c r="Y45" s="155"/>
      <c r="Z45" s="155"/>
      <c r="AA45" s="155"/>
      <c r="AB45" s="155"/>
      <c r="AC45" s="155"/>
      <c r="AD45" s="155"/>
      <c r="AE45" s="155"/>
      <c r="AF45" s="155"/>
      <c r="AG45" s="155"/>
      <c r="AH45" s="155"/>
      <c r="AI45" s="155"/>
      <c r="AJ45" s="155"/>
      <c r="AK45" s="155"/>
      <c r="AL45" s="155"/>
      <c r="AM45" s="155" t="s">
        <v>586</v>
      </c>
      <c r="AN45" s="155"/>
      <c r="AO45" s="155"/>
    </row>
    <row r="46" spans="1:41" ht="28.95" customHeight="1" x14ac:dyDescent="0.2">
      <c r="A46" s="163"/>
      <c r="B46" s="228" t="s">
        <v>719</v>
      </c>
      <c r="C46" s="228"/>
      <c r="D46" s="228"/>
      <c r="E46" s="228"/>
      <c r="F46" s="126"/>
      <c r="G46" s="141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55"/>
      <c r="U46" s="155"/>
      <c r="V46" s="155"/>
      <c r="W46" s="155"/>
      <c r="X46" s="155"/>
      <c r="Y46" s="155"/>
      <c r="Z46" s="155"/>
      <c r="AA46" s="155"/>
      <c r="AB46" s="155"/>
      <c r="AC46" s="155"/>
      <c r="AD46" s="155"/>
      <c r="AE46" s="155"/>
      <c r="AF46" s="155"/>
      <c r="AG46" s="155"/>
      <c r="AH46" s="155"/>
      <c r="AI46" s="155"/>
      <c r="AJ46" s="155"/>
      <c r="AK46" s="155"/>
      <c r="AL46" s="155"/>
      <c r="AM46" s="155"/>
      <c r="AN46" s="155" t="s">
        <v>586</v>
      </c>
      <c r="AO46" s="155"/>
    </row>
    <row r="47" spans="1:41" ht="28.95" customHeight="1" x14ac:dyDescent="0.2">
      <c r="A47" s="163"/>
      <c r="B47" s="228" t="s">
        <v>720</v>
      </c>
      <c r="C47" s="228"/>
      <c r="D47" s="228"/>
      <c r="E47" s="228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55"/>
      <c r="U47" s="155"/>
      <c r="V47" s="155"/>
      <c r="W47" s="155"/>
      <c r="X47" s="155"/>
      <c r="Y47" s="155"/>
      <c r="Z47" s="155"/>
      <c r="AA47" s="155"/>
      <c r="AB47" s="155"/>
      <c r="AC47" s="155"/>
      <c r="AD47" s="155"/>
      <c r="AE47" s="155"/>
      <c r="AF47" s="155"/>
      <c r="AG47" s="155"/>
      <c r="AH47" s="155"/>
      <c r="AI47" s="155"/>
      <c r="AJ47" s="155"/>
      <c r="AK47" s="155"/>
      <c r="AL47" s="155"/>
      <c r="AM47" s="155"/>
      <c r="AN47" s="155"/>
      <c r="AO47" s="155" t="s">
        <v>586</v>
      </c>
    </row>
    <row r="48" spans="1:41" ht="13.2" customHeight="1" x14ac:dyDescent="0.2">
      <c r="A48" s="163"/>
      <c r="B48" s="138"/>
      <c r="C48" s="143"/>
      <c r="D48" s="176"/>
      <c r="E48" s="177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55"/>
      <c r="U48" s="155"/>
      <c r="V48" s="155"/>
      <c r="W48" s="155"/>
      <c r="X48" s="155"/>
      <c r="Y48" s="155"/>
      <c r="Z48" s="155"/>
      <c r="AA48" s="155"/>
      <c r="AB48" s="155"/>
      <c r="AC48" s="155"/>
      <c r="AD48" s="155"/>
      <c r="AE48" s="155"/>
      <c r="AF48" s="155"/>
      <c r="AG48" s="155"/>
      <c r="AH48" s="155"/>
      <c r="AI48" s="155"/>
      <c r="AJ48" s="155"/>
      <c r="AK48" s="155"/>
      <c r="AL48" s="155"/>
      <c r="AM48" s="155"/>
      <c r="AN48" s="155"/>
      <c r="AO48" s="155"/>
    </row>
    <row r="49" spans="1:41" ht="28.95" customHeight="1" x14ac:dyDescent="0.2">
      <c r="A49" s="131" t="s">
        <v>595</v>
      </c>
      <c r="B49" s="138" t="s">
        <v>596</v>
      </c>
      <c r="C49" s="143"/>
      <c r="D49" s="176"/>
      <c r="E49" s="177"/>
      <c r="F49" s="145"/>
      <c r="G49" s="145"/>
      <c r="H49" s="145"/>
      <c r="I49" s="145"/>
      <c r="J49" s="145"/>
      <c r="K49" s="145"/>
      <c r="L49" s="145"/>
      <c r="M49" s="145"/>
      <c r="N49" s="145"/>
      <c r="O49" s="145"/>
      <c r="P49" s="145"/>
      <c r="Q49" s="145"/>
      <c r="R49" s="145"/>
      <c r="S49" s="145"/>
      <c r="T49" s="178"/>
      <c r="U49" s="178"/>
      <c r="V49" s="178"/>
      <c r="W49" s="178"/>
      <c r="X49" s="178"/>
      <c r="Y49" s="178"/>
      <c r="Z49" s="178"/>
      <c r="AA49" s="178"/>
      <c r="AB49" s="178"/>
      <c r="AC49" s="178"/>
      <c r="AD49" s="178"/>
      <c r="AE49" s="178"/>
      <c r="AF49" s="178"/>
      <c r="AG49" s="178"/>
      <c r="AH49" s="178"/>
      <c r="AI49" s="178"/>
      <c r="AJ49" s="178"/>
      <c r="AK49" s="178"/>
      <c r="AL49" s="178"/>
      <c r="AM49" s="178"/>
      <c r="AN49" s="178"/>
      <c r="AO49" s="178"/>
    </row>
    <row r="50" spans="1:41" ht="28.95" customHeight="1" x14ac:dyDescent="0.2">
      <c r="A50" s="163"/>
      <c r="B50" s="228" t="s">
        <v>721</v>
      </c>
      <c r="C50" s="228"/>
      <c r="D50" s="228"/>
      <c r="E50" s="228"/>
      <c r="F50" s="126" t="s">
        <v>586</v>
      </c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55"/>
      <c r="U50" s="155"/>
      <c r="V50" s="155"/>
      <c r="W50" s="155"/>
      <c r="X50" s="155"/>
      <c r="Y50" s="155"/>
      <c r="Z50" s="155"/>
      <c r="AA50" s="155"/>
      <c r="AB50" s="155"/>
      <c r="AC50" s="155"/>
      <c r="AD50" s="155"/>
      <c r="AE50" s="155"/>
      <c r="AF50" s="155"/>
      <c r="AG50" s="155"/>
      <c r="AH50" s="155"/>
      <c r="AI50" s="155"/>
      <c r="AJ50" s="155"/>
      <c r="AK50" s="155"/>
      <c r="AL50" s="155"/>
      <c r="AM50" s="155"/>
      <c r="AN50" s="155"/>
      <c r="AO50" s="155"/>
    </row>
    <row r="51" spans="1:41" ht="28.95" customHeight="1" x14ac:dyDescent="0.2">
      <c r="A51" s="163"/>
      <c r="B51" s="228" t="s">
        <v>722</v>
      </c>
      <c r="C51" s="228"/>
      <c r="D51" s="228"/>
      <c r="E51" s="228"/>
      <c r="F51" s="126"/>
      <c r="G51" s="126" t="s">
        <v>586</v>
      </c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55"/>
      <c r="U51" s="155"/>
      <c r="V51" s="155"/>
      <c r="W51" s="155"/>
      <c r="X51" s="155"/>
      <c r="Y51" s="155"/>
      <c r="Z51" s="155"/>
      <c r="AA51" s="155"/>
      <c r="AB51" s="155"/>
      <c r="AC51" s="155"/>
      <c r="AD51" s="155"/>
      <c r="AE51" s="155"/>
      <c r="AF51" s="155"/>
      <c r="AG51" s="155"/>
      <c r="AH51" s="155"/>
      <c r="AI51" s="155"/>
      <c r="AJ51" s="155"/>
      <c r="AK51" s="155"/>
      <c r="AL51" s="155"/>
      <c r="AM51" s="155"/>
      <c r="AN51" s="155"/>
      <c r="AO51" s="155"/>
    </row>
    <row r="52" spans="1:41" ht="28.95" customHeight="1" x14ac:dyDescent="0.2">
      <c r="A52" s="163"/>
      <c r="B52" s="228" t="s">
        <v>723</v>
      </c>
      <c r="C52" s="228"/>
      <c r="D52" s="228"/>
      <c r="E52" s="228"/>
      <c r="F52" s="126"/>
      <c r="G52" s="126"/>
      <c r="H52" s="126" t="s">
        <v>586</v>
      </c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55"/>
      <c r="U52" s="155"/>
      <c r="V52" s="155"/>
      <c r="W52" s="155"/>
      <c r="X52" s="155"/>
      <c r="Y52" s="155"/>
      <c r="Z52" s="155"/>
      <c r="AA52" s="155"/>
      <c r="AB52" s="155"/>
      <c r="AC52" s="155"/>
      <c r="AD52" s="155"/>
      <c r="AE52" s="155"/>
      <c r="AF52" s="155"/>
      <c r="AG52" s="155"/>
      <c r="AH52" s="155"/>
      <c r="AI52" s="155"/>
      <c r="AJ52" s="155"/>
      <c r="AK52" s="155"/>
      <c r="AL52" s="155"/>
      <c r="AM52" s="155"/>
      <c r="AN52" s="155"/>
      <c r="AO52" s="155"/>
    </row>
    <row r="53" spans="1:41" ht="28.95" customHeight="1" x14ac:dyDescent="0.2">
      <c r="A53" s="163"/>
      <c r="B53" s="235" t="s">
        <v>724</v>
      </c>
      <c r="C53" s="235"/>
      <c r="D53" s="235"/>
      <c r="E53" s="235"/>
      <c r="F53" s="139"/>
      <c r="G53" s="141"/>
      <c r="H53" s="139"/>
      <c r="I53" s="139" t="s">
        <v>586</v>
      </c>
      <c r="J53" s="139"/>
      <c r="K53" s="139"/>
      <c r="L53" s="139"/>
      <c r="M53" s="139"/>
      <c r="N53" s="139"/>
      <c r="O53" s="139"/>
      <c r="P53" s="139"/>
      <c r="Q53" s="139"/>
      <c r="R53" s="139"/>
      <c r="S53" s="139"/>
      <c r="T53" s="165"/>
      <c r="U53" s="165"/>
      <c r="V53" s="165"/>
      <c r="W53" s="165"/>
      <c r="X53" s="165"/>
      <c r="Y53" s="165"/>
      <c r="Z53" s="165"/>
      <c r="AA53" s="165"/>
      <c r="AB53" s="165"/>
      <c r="AC53" s="165"/>
      <c r="AD53" s="165"/>
      <c r="AE53" s="165"/>
      <c r="AF53" s="165"/>
      <c r="AG53" s="165"/>
      <c r="AH53" s="165"/>
      <c r="AI53" s="165"/>
      <c r="AJ53" s="165"/>
      <c r="AK53" s="165"/>
      <c r="AL53" s="165"/>
      <c r="AM53" s="165"/>
      <c r="AN53" s="165"/>
      <c r="AO53" s="165"/>
    </row>
    <row r="54" spans="1:41" ht="28.95" customHeight="1" x14ac:dyDescent="0.2">
      <c r="A54" s="161"/>
      <c r="B54" s="236" t="s">
        <v>725</v>
      </c>
      <c r="C54" s="236"/>
      <c r="D54" s="236"/>
      <c r="E54" s="236"/>
      <c r="F54" s="166"/>
      <c r="G54" s="166"/>
      <c r="H54" s="166"/>
      <c r="I54" s="166"/>
      <c r="J54" s="166" t="s">
        <v>586</v>
      </c>
      <c r="K54" s="166"/>
      <c r="L54" s="166"/>
      <c r="M54" s="166"/>
      <c r="N54" s="166"/>
      <c r="O54" s="166"/>
      <c r="P54" s="166"/>
      <c r="Q54" s="166"/>
      <c r="R54" s="166"/>
      <c r="S54" s="166"/>
      <c r="T54" s="167"/>
      <c r="U54" s="167"/>
      <c r="V54" s="167"/>
      <c r="W54" s="167"/>
      <c r="X54" s="167"/>
      <c r="Y54" s="167"/>
      <c r="Z54" s="167"/>
      <c r="AA54" s="167"/>
      <c r="AB54" s="167"/>
      <c r="AC54" s="167"/>
      <c r="AD54" s="167"/>
      <c r="AE54" s="167"/>
      <c r="AF54" s="167"/>
      <c r="AG54" s="167"/>
      <c r="AH54" s="167"/>
      <c r="AI54" s="167"/>
      <c r="AJ54" s="167"/>
      <c r="AK54" s="167"/>
      <c r="AL54" s="167"/>
      <c r="AM54" s="167"/>
      <c r="AN54" s="167"/>
      <c r="AO54" s="167"/>
    </row>
    <row r="55" spans="1:41" ht="28.95" customHeight="1" x14ac:dyDescent="0.2">
      <c r="A55" s="163"/>
      <c r="B55" s="234" t="s">
        <v>726</v>
      </c>
      <c r="C55" s="234"/>
      <c r="D55" s="234"/>
      <c r="E55" s="234"/>
      <c r="F55" s="126"/>
      <c r="G55" s="126"/>
      <c r="H55" s="126"/>
      <c r="I55" s="126"/>
      <c r="J55" s="126"/>
      <c r="K55" s="126" t="s">
        <v>586</v>
      </c>
      <c r="L55" s="126"/>
      <c r="M55" s="126"/>
      <c r="N55" s="126"/>
      <c r="O55" s="126"/>
      <c r="P55" s="126"/>
      <c r="Q55" s="126"/>
      <c r="R55" s="126"/>
      <c r="S55" s="126"/>
      <c r="T55" s="155"/>
      <c r="U55" s="155"/>
      <c r="V55" s="155"/>
      <c r="W55" s="155"/>
      <c r="X55" s="155"/>
      <c r="Y55" s="155"/>
      <c r="Z55" s="155"/>
      <c r="AA55" s="155"/>
      <c r="AB55" s="155"/>
      <c r="AC55" s="155"/>
      <c r="AD55" s="155"/>
      <c r="AE55" s="155"/>
      <c r="AF55" s="155"/>
      <c r="AG55" s="155"/>
      <c r="AH55" s="155"/>
      <c r="AI55" s="155"/>
      <c r="AJ55" s="155"/>
      <c r="AK55" s="155"/>
      <c r="AL55" s="155"/>
      <c r="AM55" s="155"/>
      <c r="AN55" s="155"/>
      <c r="AO55" s="155"/>
    </row>
    <row r="56" spans="1:41" ht="28.95" customHeight="1" x14ac:dyDescent="0.2">
      <c r="A56" s="163"/>
      <c r="B56" s="234" t="s">
        <v>727</v>
      </c>
      <c r="C56" s="234"/>
      <c r="D56" s="234"/>
      <c r="E56" s="234"/>
      <c r="F56" s="168"/>
      <c r="G56" s="168"/>
      <c r="H56" s="168"/>
      <c r="I56" s="168"/>
      <c r="J56" s="168"/>
      <c r="K56" s="168"/>
      <c r="L56" s="168" t="s">
        <v>586</v>
      </c>
      <c r="M56" s="168"/>
      <c r="N56" s="168"/>
      <c r="O56" s="169"/>
      <c r="P56" s="169"/>
      <c r="Q56" s="169"/>
      <c r="R56" s="169"/>
      <c r="S56" s="169"/>
      <c r="T56" s="170"/>
      <c r="U56" s="170"/>
      <c r="V56" s="170"/>
      <c r="W56" s="170"/>
      <c r="X56" s="170"/>
      <c r="Y56" s="170"/>
      <c r="Z56" s="170"/>
      <c r="AA56" s="170"/>
      <c r="AB56" s="170"/>
      <c r="AC56" s="170"/>
      <c r="AD56" s="170"/>
      <c r="AE56" s="170"/>
      <c r="AF56" s="170"/>
      <c r="AG56" s="170"/>
      <c r="AH56" s="170"/>
      <c r="AI56" s="170"/>
      <c r="AJ56" s="170"/>
      <c r="AK56" s="170"/>
      <c r="AL56" s="170"/>
      <c r="AM56" s="170"/>
      <c r="AN56" s="170"/>
      <c r="AO56" s="170"/>
    </row>
    <row r="57" spans="1:41" ht="28.95" customHeight="1" x14ac:dyDescent="0.2">
      <c r="A57" s="171"/>
      <c r="B57" s="237" t="s">
        <v>728</v>
      </c>
      <c r="C57" s="237"/>
      <c r="D57" s="237"/>
      <c r="E57" s="237"/>
      <c r="F57" s="150"/>
      <c r="G57" s="150"/>
      <c r="H57" s="150"/>
      <c r="I57" s="150"/>
      <c r="J57" s="150"/>
      <c r="K57" s="150"/>
      <c r="L57" s="150"/>
      <c r="M57" s="150" t="s">
        <v>586</v>
      </c>
      <c r="N57" s="150"/>
      <c r="O57" s="150"/>
      <c r="P57" s="150"/>
      <c r="Q57" s="150"/>
      <c r="R57" s="150"/>
      <c r="S57" s="150"/>
      <c r="T57" s="156"/>
      <c r="U57" s="156"/>
      <c r="V57" s="156"/>
      <c r="W57" s="156"/>
      <c r="X57" s="156"/>
      <c r="Y57" s="156"/>
      <c r="Z57" s="156"/>
      <c r="AA57" s="156"/>
      <c r="AB57" s="156"/>
      <c r="AC57" s="156"/>
      <c r="AD57" s="156"/>
      <c r="AE57" s="156"/>
      <c r="AF57" s="156"/>
      <c r="AG57" s="156"/>
      <c r="AH57" s="156"/>
      <c r="AI57" s="156"/>
      <c r="AJ57" s="156"/>
      <c r="AK57" s="156"/>
      <c r="AL57" s="156"/>
      <c r="AM57" s="156"/>
      <c r="AN57" s="156"/>
      <c r="AO57" s="156"/>
    </row>
    <row r="58" spans="1:41" ht="28.95" customHeight="1" x14ac:dyDescent="0.2">
      <c r="A58" s="171"/>
      <c r="B58" s="237" t="s">
        <v>729</v>
      </c>
      <c r="C58" s="237"/>
      <c r="D58" s="237"/>
      <c r="E58" s="237"/>
      <c r="F58" s="150"/>
      <c r="G58" s="150"/>
      <c r="H58" s="150"/>
      <c r="I58" s="150"/>
      <c r="J58" s="150"/>
      <c r="K58" s="150"/>
      <c r="L58" s="150"/>
      <c r="M58" s="150"/>
      <c r="N58" s="150" t="s">
        <v>586</v>
      </c>
      <c r="O58" s="150"/>
      <c r="P58" s="150"/>
      <c r="Q58" s="150"/>
      <c r="R58" s="150"/>
      <c r="S58" s="150"/>
      <c r="T58" s="156"/>
      <c r="U58" s="156"/>
      <c r="V58" s="156"/>
      <c r="W58" s="156"/>
      <c r="X58" s="156"/>
      <c r="Y58" s="156"/>
      <c r="Z58" s="156"/>
      <c r="AA58" s="156"/>
      <c r="AB58" s="156"/>
      <c r="AC58" s="156"/>
      <c r="AD58" s="156"/>
      <c r="AE58" s="156"/>
      <c r="AF58" s="156"/>
      <c r="AG58" s="156"/>
      <c r="AH58" s="156"/>
      <c r="AI58" s="156"/>
      <c r="AJ58" s="156"/>
      <c r="AK58" s="156"/>
      <c r="AL58" s="156"/>
      <c r="AM58" s="156"/>
      <c r="AN58" s="156"/>
      <c r="AO58" s="156"/>
    </row>
    <row r="59" spans="1:41" ht="28.95" customHeight="1" x14ac:dyDescent="0.2">
      <c r="A59" s="171"/>
      <c r="B59" s="237" t="s">
        <v>730</v>
      </c>
      <c r="C59" s="237"/>
      <c r="D59" s="237"/>
      <c r="E59" s="237"/>
      <c r="F59" s="150"/>
      <c r="G59" s="150"/>
      <c r="H59" s="150"/>
      <c r="I59" s="150"/>
      <c r="J59" s="150"/>
      <c r="K59" s="150"/>
      <c r="L59" s="150"/>
      <c r="M59" s="150"/>
      <c r="N59" s="150"/>
      <c r="O59" s="150" t="s">
        <v>586</v>
      </c>
      <c r="P59" s="150"/>
      <c r="Q59" s="150"/>
      <c r="R59" s="150"/>
      <c r="S59" s="150"/>
      <c r="T59" s="156"/>
      <c r="U59" s="156"/>
      <c r="V59" s="156"/>
      <c r="W59" s="156"/>
      <c r="X59" s="156"/>
      <c r="Y59" s="156"/>
      <c r="Z59" s="156"/>
      <c r="AA59" s="156"/>
      <c r="AB59" s="156"/>
      <c r="AC59" s="156"/>
      <c r="AD59" s="156"/>
      <c r="AE59" s="156"/>
      <c r="AF59" s="156"/>
      <c r="AG59" s="156"/>
      <c r="AH59" s="156"/>
      <c r="AI59" s="156"/>
      <c r="AJ59" s="156"/>
      <c r="AK59" s="156"/>
      <c r="AL59" s="156"/>
      <c r="AM59" s="156"/>
      <c r="AN59" s="156"/>
      <c r="AO59" s="156"/>
    </row>
    <row r="60" spans="1:41" ht="28.95" customHeight="1" x14ac:dyDescent="0.2">
      <c r="A60" s="171"/>
      <c r="B60" s="237" t="s">
        <v>731</v>
      </c>
      <c r="C60" s="237"/>
      <c r="D60" s="237"/>
      <c r="E60" s="237"/>
      <c r="F60" s="150"/>
      <c r="G60" s="150"/>
      <c r="H60" s="150"/>
      <c r="I60" s="150"/>
      <c r="J60" s="150"/>
      <c r="K60" s="150"/>
      <c r="L60" s="150"/>
      <c r="M60" s="150"/>
      <c r="N60" s="150"/>
      <c r="O60" s="150"/>
      <c r="P60" s="150" t="s">
        <v>586</v>
      </c>
      <c r="Q60" s="150"/>
      <c r="R60" s="150"/>
      <c r="S60" s="150"/>
      <c r="T60" s="156"/>
      <c r="U60" s="156"/>
      <c r="V60" s="156"/>
      <c r="W60" s="156"/>
      <c r="X60" s="156"/>
      <c r="Y60" s="156"/>
      <c r="Z60" s="156"/>
      <c r="AA60" s="156"/>
      <c r="AB60" s="156"/>
      <c r="AC60" s="156"/>
      <c r="AD60" s="156"/>
      <c r="AE60" s="156"/>
      <c r="AF60" s="156"/>
      <c r="AG60" s="156"/>
      <c r="AH60" s="156"/>
      <c r="AI60" s="156"/>
      <c r="AJ60" s="156"/>
      <c r="AK60" s="156"/>
      <c r="AL60" s="156"/>
      <c r="AM60" s="156"/>
      <c r="AN60" s="156"/>
      <c r="AO60" s="156"/>
    </row>
    <row r="61" spans="1:41" ht="28.95" customHeight="1" x14ac:dyDescent="0.2">
      <c r="A61" s="171"/>
      <c r="B61" s="237" t="s">
        <v>732</v>
      </c>
      <c r="C61" s="237"/>
      <c r="D61" s="237"/>
      <c r="E61" s="237"/>
      <c r="F61" s="150"/>
      <c r="G61" s="150"/>
      <c r="H61" s="150"/>
      <c r="I61" s="150"/>
      <c r="J61" s="150"/>
      <c r="K61" s="150"/>
      <c r="L61" s="150"/>
      <c r="M61" s="150"/>
      <c r="N61" s="150"/>
      <c r="O61" s="150"/>
      <c r="P61" s="150"/>
      <c r="Q61" s="150" t="s">
        <v>586</v>
      </c>
      <c r="R61" s="150"/>
      <c r="S61" s="150"/>
      <c r="T61" s="156"/>
      <c r="U61" s="156"/>
      <c r="V61" s="156"/>
      <c r="W61" s="156"/>
      <c r="X61" s="156"/>
      <c r="Y61" s="156"/>
      <c r="Z61" s="156"/>
      <c r="AA61" s="156"/>
      <c r="AB61" s="156"/>
      <c r="AC61" s="156"/>
      <c r="AD61" s="156"/>
      <c r="AE61" s="156"/>
      <c r="AF61" s="156"/>
      <c r="AG61" s="156"/>
      <c r="AH61" s="156"/>
      <c r="AI61" s="156"/>
      <c r="AJ61" s="156"/>
      <c r="AK61" s="156"/>
      <c r="AL61" s="156"/>
      <c r="AM61" s="156"/>
      <c r="AN61" s="156"/>
      <c r="AO61" s="156"/>
    </row>
    <row r="62" spans="1:41" ht="28.95" customHeight="1" x14ac:dyDescent="0.2">
      <c r="A62" s="171"/>
      <c r="B62" s="237" t="s">
        <v>733</v>
      </c>
      <c r="C62" s="237"/>
      <c r="D62" s="237"/>
      <c r="E62" s="237"/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50"/>
      <c r="R62" s="150" t="s">
        <v>586</v>
      </c>
      <c r="S62" s="150"/>
      <c r="T62" s="156"/>
      <c r="U62" s="156"/>
      <c r="V62" s="156"/>
      <c r="W62" s="156"/>
      <c r="X62" s="156"/>
      <c r="Y62" s="156"/>
      <c r="Z62" s="156"/>
      <c r="AA62" s="156"/>
      <c r="AB62" s="156"/>
      <c r="AC62" s="156"/>
      <c r="AD62" s="156"/>
      <c r="AE62" s="156"/>
      <c r="AF62" s="156"/>
      <c r="AG62" s="156"/>
      <c r="AH62" s="156"/>
      <c r="AI62" s="156"/>
      <c r="AJ62" s="156"/>
      <c r="AK62" s="156"/>
      <c r="AL62" s="156"/>
      <c r="AM62" s="156"/>
      <c r="AN62" s="156"/>
      <c r="AO62" s="156"/>
    </row>
    <row r="63" spans="1:41" ht="28.95" customHeight="1" x14ac:dyDescent="0.2">
      <c r="A63" s="171"/>
      <c r="B63" s="237" t="s">
        <v>734</v>
      </c>
      <c r="C63" s="237"/>
      <c r="D63" s="237"/>
      <c r="E63" s="237"/>
      <c r="F63" s="150"/>
      <c r="G63" s="150"/>
      <c r="H63" s="150"/>
      <c r="I63" s="150"/>
      <c r="J63" s="150"/>
      <c r="K63" s="150"/>
      <c r="L63" s="150"/>
      <c r="M63" s="150"/>
      <c r="N63" s="150"/>
      <c r="O63" s="150"/>
      <c r="P63" s="150"/>
      <c r="Q63" s="150"/>
      <c r="R63" s="150"/>
      <c r="S63" s="150" t="s">
        <v>586</v>
      </c>
      <c r="T63" s="156"/>
      <c r="U63" s="156"/>
      <c r="V63" s="156"/>
      <c r="W63" s="156"/>
      <c r="X63" s="156"/>
      <c r="Y63" s="156"/>
      <c r="Z63" s="156"/>
      <c r="AA63" s="156"/>
      <c r="AB63" s="156"/>
      <c r="AC63" s="156"/>
      <c r="AD63" s="156"/>
      <c r="AE63" s="156"/>
      <c r="AF63" s="156"/>
      <c r="AG63" s="156"/>
      <c r="AH63" s="156"/>
      <c r="AI63" s="156"/>
      <c r="AJ63" s="156"/>
      <c r="AK63" s="156"/>
      <c r="AL63" s="156"/>
      <c r="AM63" s="156"/>
      <c r="AN63" s="156"/>
      <c r="AO63" s="156"/>
    </row>
    <row r="64" spans="1:41" ht="28.95" customHeight="1" x14ac:dyDescent="0.2">
      <c r="A64" s="171"/>
      <c r="B64" s="237" t="s">
        <v>735</v>
      </c>
      <c r="C64" s="237"/>
      <c r="D64" s="237"/>
      <c r="E64" s="237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50"/>
      <c r="Q64" s="150"/>
      <c r="R64" s="150"/>
      <c r="S64" s="150"/>
      <c r="T64" s="156" t="s">
        <v>586</v>
      </c>
      <c r="U64" s="156"/>
      <c r="V64" s="156"/>
      <c r="W64" s="156"/>
      <c r="X64" s="156"/>
      <c r="Y64" s="156"/>
      <c r="Z64" s="156"/>
      <c r="AA64" s="156"/>
      <c r="AB64" s="156"/>
      <c r="AC64" s="156"/>
      <c r="AD64" s="156"/>
      <c r="AE64" s="156"/>
      <c r="AF64" s="156"/>
      <c r="AG64" s="156"/>
      <c r="AH64" s="156"/>
      <c r="AI64" s="156"/>
      <c r="AJ64" s="156"/>
      <c r="AK64" s="156"/>
      <c r="AL64" s="156"/>
      <c r="AM64" s="156"/>
      <c r="AN64" s="156"/>
      <c r="AO64" s="156"/>
    </row>
    <row r="65" spans="1:41" ht="28.95" customHeight="1" x14ac:dyDescent="0.2">
      <c r="A65" s="171"/>
      <c r="B65" s="237" t="s">
        <v>736</v>
      </c>
      <c r="C65" s="237"/>
      <c r="D65" s="237"/>
      <c r="E65" s="237"/>
      <c r="F65" s="150"/>
      <c r="G65" s="150"/>
      <c r="H65" s="150"/>
      <c r="I65" s="150"/>
      <c r="J65" s="150"/>
      <c r="K65" s="150"/>
      <c r="L65" s="150"/>
      <c r="M65" s="150"/>
      <c r="N65" s="150"/>
      <c r="O65" s="150"/>
      <c r="P65" s="150"/>
      <c r="Q65" s="150"/>
      <c r="R65" s="150"/>
      <c r="S65" s="150"/>
      <c r="T65" s="156"/>
      <c r="U65" s="156" t="s">
        <v>586</v>
      </c>
      <c r="V65" s="156"/>
      <c r="W65" s="156"/>
      <c r="X65" s="156"/>
      <c r="Y65" s="156"/>
      <c r="Z65" s="156"/>
      <c r="AA65" s="156"/>
      <c r="AB65" s="156"/>
      <c r="AC65" s="156"/>
      <c r="AD65" s="156"/>
      <c r="AE65" s="156"/>
      <c r="AF65" s="156"/>
      <c r="AG65" s="156"/>
      <c r="AH65" s="156"/>
      <c r="AI65" s="156"/>
      <c r="AJ65" s="156"/>
      <c r="AK65" s="156"/>
      <c r="AL65" s="156"/>
      <c r="AM65" s="156"/>
      <c r="AN65" s="156"/>
      <c r="AO65" s="156"/>
    </row>
    <row r="66" spans="1:41" ht="28.95" customHeight="1" x14ac:dyDescent="0.2">
      <c r="A66" s="171"/>
      <c r="B66" s="237" t="s">
        <v>737</v>
      </c>
      <c r="C66" s="237"/>
      <c r="D66" s="237"/>
      <c r="E66" s="237"/>
      <c r="F66" s="150"/>
      <c r="G66" s="150"/>
      <c r="H66" s="150"/>
      <c r="I66" s="150"/>
      <c r="J66" s="150"/>
      <c r="K66" s="150"/>
      <c r="L66" s="150"/>
      <c r="M66" s="150"/>
      <c r="N66" s="150"/>
      <c r="O66" s="150"/>
      <c r="P66" s="150"/>
      <c r="Q66" s="150"/>
      <c r="R66" s="150"/>
      <c r="S66" s="150"/>
      <c r="T66" s="156"/>
      <c r="U66" s="156"/>
      <c r="V66" s="156" t="s">
        <v>586</v>
      </c>
      <c r="W66" s="156"/>
      <c r="X66" s="156"/>
      <c r="Y66" s="156"/>
      <c r="Z66" s="156"/>
      <c r="AA66" s="156"/>
      <c r="AB66" s="156"/>
      <c r="AC66" s="156"/>
      <c r="AD66" s="156"/>
      <c r="AE66" s="156"/>
      <c r="AF66" s="156"/>
      <c r="AG66" s="156"/>
      <c r="AH66" s="156"/>
      <c r="AI66" s="156"/>
      <c r="AJ66" s="156"/>
      <c r="AK66" s="156"/>
      <c r="AL66" s="156"/>
      <c r="AM66" s="156"/>
      <c r="AN66" s="156"/>
      <c r="AO66" s="156"/>
    </row>
    <row r="67" spans="1:41" ht="42.45" customHeight="1" x14ac:dyDescent="0.2">
      <c r="A67" s="171"/>
      <c r="B67" s="237" t="s">
        <v>738</v>
      </c>
      <c r="C67" s="237"/>
      <c r="D67" s="237"/>
      <c r="E67" s="237"/>
      <c r="F67" s="150"/>
      <c r="G67" s="150"/>
      <c r="H67" s="150"/>
      <c r="I67" s="150"/>
      <c r="J67" s="150"/>
      <c r="K67" s="150"/>
      <c r="L67" s="150"/>
      <c r="M67" s="150"/>
      <c r="N67" s="150"/>
      <c r="O67" s="150"/>
      <c r="P67" s="150"/>
      <c r="Q67" s="150"/>
      <c r="R67" s="150"/>
      <c r="S67" s="150"/>
      <c r="T67" s="156"/>
      <c r="U67" s="156"/>
      <c r="V67" s="156"/>
      <c r="W67" s="156" t="s">
        <v>586</v>
      </c>
      <c r="X67" s="156"/>
      <c r="Y67" s="156"/>
      <c r="Z67" s="156"/>
      <c r="AA67" s="156"/>
      <c r="AB67" s="156"/>
      <c r="AC67" s="156"/>
      <c r="AD67" s="156"/>
      <c r="AE67" s="156"/>
      <c r="AF67" s="156"/>
      <c r="AG67" s="156"/>
      <c r="AH67" s="156"/>
      <c r="AI67" s="156"/>
      <c r="AJ67" s="156"/>
      <c r="AK67" s="156"/>
      <c r="AL67" s="156"/>
      <c r="AM67" s="156"/>
      <c r="AN67" s="156"/>
      <c r="AO67" s="156"/>
    </row>
    <row r="68" spans="1:41" ht="28.95" customHeight="1" x14ac:dyDescent="0.2">
      <c r="A68" s="171"/>
      <c r="B68" s="237" t="s">
        <v>739</v>
      </c>
      <c r="C68" s="237"/>
      <c r="D68" s="237"/>
      <c r="E68" s="237"/>
      <c r="F68" s="150"/>
      <c r="G68" s="150"/>
      <c r="H68" s="150"/>
      <c r="I68" s="150"/>
      <c r="J68" s="150"/>
      <c r="K68" s="150"/>
      <c r="L68" s="150"/>
      <c r="M68" s="150"/>
      <c r="N68" s="150"/>
      <c r="O68" s="150"/>
      <c r="P68" s="150"/>
      <c r="Q68" s="150"/>
      <c r="R68" s="150"/>
      <c r="S68" s="150"/>
      <c r="T68" s="156"/>
      <c r="U68" s="156"/>
      <c r="V68" s="156"/>
      <c r="W68" s="156"/>
      <c r="X68" s="156" t="s">
        <v>586</v>
      </c>
      <c r="Y68" s="156"/>
      <c r="Z68" s="156"/>
      <c r="AA68" s="156"/>
      <c r="AB68" s="156"/>
      <c r="AC68" s="156"/>
      <c r="AD68" s="156"/>
      <c r="AE68" s="156"/>
      <c r="AF68" s="156"/>
      <c r="AG68" s="156"/>
      <c r="AH68" s="156"/>
      <c r="AI68" s="156"/>
      <c r="AJ68" s="156"/>
      <c r="AK68" s="156"/>
      <c r="AL68" s="156"/>
      <c r="AM68" s="156"/>
      <c r="AN68" s="156"/>
      <c r="AO68" s="156"/>
    </row>
    <row r="69" spans="1:41" ht="28.95" customHeight="1" x14ac:dyDescent="0.2">
      <c r="A69" s="171"/>
      <c r="B69" s="237" t="s">
        <v>740</v>
      </c>
      <c r="C69" s="237"/>
      <c r="D69" s="237"/>
      <c r="E69" s="237"/>
      <c r="F69" s="150"/>
      <c r="G69" s="150"/>
      <c r="H69" s="150"/>
      <c r="I69" s="150"/>
      <c r="J69" s="150"/>
      <c r="K69" s="150"/>
      <c r="L69" s="150"/>
      <c r="M69" s="150"/>
      <c r="N69" s="150"/>
      <c r="O69" s="150"/>
      <c r="P69" s="150"/>
      <c r="Q69" s="150"/>
      <c r="R69" s="150"/>
      <c r="S69" s="150"/>
      <c r="T69" s="156"/>
      <c r="U69" s="156"/>
      <c r="V69" s="156"/>
      <c r="W69" s="156"/>
      <c r="X69" s="156"/>
      <c r="Y69" s="156" t="s">
        <v>586</v>
      </c>
      <c r="Z69" s="156"/>
      <c r="AA69" s="156"/>
      <c r="AB69" s="156"/>
      <c r="AC69" s="156"/>
      <c r="AD69" s="156"/>
      <c r="AE69" s="156"/>
      <c r="AF69" s="156"/>
      <c r="AG69" s="156"/>
      <c r="AH69" s="156"/>
      <c r="AI69" s="156"/>
      <c r="AJ69" s="156"/>
      <c r="AK69" s="156"/>
      <c r="AL69" s="156"/>
      <c r="AM69" s="156"/>
      <c r="AN69" s="156"/>
      <c r="AO69" s="156"/>
    </row>
    <row r="70" spans="1:41" ht="28.95" customHeight="1" x14ac:dyDescent="0.2">
      <c r="A70" s="171"/>
      <c r="B70" s="237" t="s">
        <v>741</v>
      </c>
      <c r="C70" s="237"/>
      <c r="D70" s="237"/>
      <c r="E70" s="237"/>
      <c r="F70" s="150"/>
      <c r="G70" s="150"/>
      <c r="H70" s="150"/>
      <c r="I70" s="150"/>
      <c r="J70" s="150"/>
      <c r="K70" s="150"/>
      <c r="L70" s="150"/>
      <c r="M70" s="150"/>
      <c r="N70" s="150"/>
      <c r="O70" s="150"/>
      <c r="P70" s="150"/>
      <c r="Q70" s="150"/>
      <c r="R70" s="150"/>
      <c r="S70" s="150"/>
      <c r="T70" s="156"/>
      <c r="U70" s="156"/>
      <c r="V70" s="156"/>
      <c r="W70" s="156"/>
      <c r="X70" s="156"/>
      <c r="Y70" s="156"/>
      <c r="Z70" s="156" t="s">
        <v>586</v>
      </c>
      <c r="AA70" s="156"/>
      <c r="AB70" s="156"/>
      <c r="AC70" s="156"/>
      <c r="AD70" s="156"/>
      <c r="AE70" s="156"/>
      <c r="AF70" s="156"/>
      <c r="AG70" s="156"/>
      <c r="AH70" s="156"/>
      <c r="AI70" s="156"/>
      <c r="AJ70" s="156"/>
      <c r="AK70" s="156"/>
      <c r="AL70" s="156"/>
      <c r="AM70" s="156"/>
      <c r="AN70" s="156"/>
      <c r="AO70" s="156"/>
    </row>
    <row r="71" spans="1:41" ht="28.95" customHeight="1" x14ac:dyDescent="0.2">
      <c r="A71" s="171"/>
      <c r="B71" s="237" t="s">
        <v>742</v>
      </c>
      <c r="C71" s="237"/>
      <c r="D71" s="237"/>
      <c r="E71" s="237"/>
      <c r="F71" s="150"/>
      <c r="G71" s="150"/>
      <c r="H71" s="150"/>
      <c r="I71" s="150"/>
      <c r="J71" s="150"/>
      <c r="K71" s="150"/>
      <c r="L71" s="150"/>
      <c r="M71" s="150"/>
      <c r="N71" s="150"/>
      <c r="O71" s="150"/>
      <c r="P71" s="150"/>
      <c r="Q71" s="150"/>
      <c r="R71" s="150"/>
      <c r="S71" s="150"/>
      <c r="T71" s="156"/>
      <c r="U71" s="156"/>
      <c r="V71" s="156"/>
      <c r="W71" s="156"/>
      <c r="X71" s="156"/>
      <c r="Y71" s="156"/>
      <c r="Z71" s="156"/>
      <c r="AA71" s="156" t="s">
        <v>586</v>
      </c>
      <c r="AB71" s="156"/>
      <c r="AC71" s="156"/>
      <c r="AD71" s="156"/>
      <c r="AE71" s="156"/>
      <c r="AF71" s="156"/>
      <c r="AG71" s="156"/>
      <c r="AH71" s="156"/>
      <c r="AI71" s="156"/>
      <c r="AJ71" s="156"/>
      <c r="AK71" s="156"/>
      <c r="AL71" s="156"/>
      <c r="AM71" s="156"/>
      <c r="AN71" s="156"/>
      <c r="AO71" s="156"/>
    </row>
    <row r="72" spans="1:41" ht="28.95" customHeight="1" x14ac:dyDescent="0.2">
      <c r="A72" s="171"/>
      <c r="B72" s="237" t="s">
        <v>743</v>
      </c>
      <c r="C72" s="237"/>
      <c r="D72" s="237"/>
      <c r="E72" s="237"/>
      <c r="F72" s="150"/>
      <c r="G72" s="150"/>
      <c r="H72" s="150"/>
      <c r="I72" s="150"/>
      <c r="J72" s="150"/>
      <c r="K72" s="150"/>
      <c r="L72" s="150"/>
      <c r="M72" s="150"/>
      <c r="N72" s="150"/>
      <c r="O72" s="150"/>
      <c r="P72" s="150"/>
      <c r="Q72" s="150"/>
      <c r="R72" s="150"/>
      <c r="S72" s="150"/>
      <c r="T72" s="156"/>
      <c r="U72" s="156"/>
      <c r="V72" s="156"/>
      <c r="W72" s="156"/>
      <c r="X72" s="156"/>
      <c r="Y72" s="156"/>
      <c r="Z72" s="156"/>
      <c r="AA72" s="156"/>
      <c r="AB72" s="156" t="s">
        <v>586</v>
      </c>
      <c r="AC72" s="156"/>
      <c r="AD72" s="156"/>
      <c r="AE72" s="156"/>
      <c r="AF72" s="156"/>
      <c r="AG72" s="156"/>
      <c r="AH72" s="156"/>
      <c r="AI72" s="156"/>
      <c r="AJ72" s="156"/>
      <c r="AK72" s="156"/>
      <c r="AL72" s="156"/>
      <c r="AM72" s="156"/>
      <c r="AN72" s="156"/>
      <c r="AO72" s="156"/>
    </row>
    <row r="73" spans="1:41" ht="28.95" customHeight="1" x14ac:dyDescent="0.2">
      <c r="A73" s="171"/>
      <c r="B73" s="237" t="s">
        <v>744</v>
      </c>
      <c r="C73" s="237"/>
      <c r="D73" s="237"/>
      <c r="E73" s="237"/>
      <c r="F73" s="150"/>
      <c r="G73" s="150"/>
      <c r="H73" s="150"/>
      <c r="I73" s="150"/>
      <c r="J73" s="150"/>
      <c r="K73" s="150"/>
      <c r="L73" s="150"/>
      <c r="M73" s="150"/>
      <c r="N73" s="150"/>
      <c r="O73" s="150"/>
      <c r="P73" s="150"/>
      <c r="Q73" s="150"/>
      <c r="R73" s="150"/>
      <c r="S73" s="150"/>
      <c r="T73" s="156"/>
      <c r="U73" s="156"/>
      <c r="V73" s="156"/>
      <c r="W73" s="156"/>
      <c r="X73" s="156"/>
      <c r="Y73" s="156"/>
      <c r="Z73" s="156"/>
      <c r="AA73" s="156"/>
      <c r="AB73" s="156"/>
      <c r="AC73" s="156" t="s">
        <v>586</v>
      </c>
      <c r="AD73" s="156"/>
      <c r="AE73" s="156"/>
      <c r="AF73" s="156"/>
      <c r="AG73" s="156"/>
      <c r="AH73" s="156"/>
      <c r="AI73" s="156"/>
      <c r="AJ73" s="156"/>
      <c r="AK73" s="156"/>
      <c r="AL73" s="156"/>
      <c r="AM73" s="156"/>
      <c r="AN73" s="156"/>
      <c r="AO73" s="156"/>
    </row>
    <row r="74" spans="1:41" ht="28.95" customHeight="1" x14ac:dyDescent="0.2">
      <c r="A74" s="171"/>
      <c r="B74" s="237" t="s">
        <v>745</v>
      </c>
      <c r="C74" s="237"/>
      <c r="D74" s="237"/>
      <c r="E74" s="237"/>
      <c r="F74" s="150"/>
      <c r="G74" s="150"/>
      <c r="H74" s="150"/>
      <c r="I74" s="150"/>
      <c r="J74" s="150"/>
      <c r="K74" s="150"/>
      <c r="L74" s="150"/>
      <c r="M74" s="150"/>
      <c r="N74" s="150"/>
      <c r="O74" s="150"/>
      <c r="P74" s="150"/>
      <c r="Q74" s="150"/>
      <c r="R74" s="150"/>
      <c r="S74" s="150"/>
      <c r="T74" s="156"/>
      <c r="U74" s="156"/>
      <c r="V74" s="156"/>
      <c r="W74" s="156"/>
      <c r="X74" s="156"/>
      <c r="Y74" s="156"/>
      <c r="Z74" s="156"/>
      <c r="AA74" s="156"/>
      <c r="AB74" s="156"/>
      <c r="AC74" s="156"/>
      <c r="AD74" s="156" t="s">
        <v>586</v>
      </c>
      <c r="AE74" s="156"/>
      <c r="AF74" s="156"/>
      <c r="AG74" s="156"/>
      <c r="AH74" s="156"/>
      <c r="AI74" s="156"/>
      <c r="AJ74" s="156"/>
      <c r="AK74" s="156"/>
      <c r="AL74" s="156"/>
      <c r="AM74" s="156"/>
      <c r="AN74" s="156"/>
      <c r="AO74" s="156"/>
    </row>
    <row r="75" spans="1:41" ht="28.95" customHeight="1" x14ac:dyDescent="0.2">
      <c r="A75" s="171"/>
      <c r="B75" s="237" t="s">
        <v>746</v>
      </c>
      <c r="C75" s="237"/>
      <c r="D75" s="237"/>
      <c r="E75" s="237"/>
      <c r="F75" s="150"/>
      <c r="G75" s="150"/>
      <c r="H75" s="150"/>
      <c r="I75" s="150"/>
      <c r="J75" s="150"/>
      <c r="K75" s="150"/>
      <c r="L75" s="150"/>
      <c r="M75" s="150"/>
      <c r="N75" s="150"/>
      <c r="O75" s="150"/>
      <c r="P75" s="150"/>
      <c r="Q75" s="150"/>
      <c r="R75" s="150"/>
      <c r="S75" s="150"/>
      <c r="T75" s="156"/>
      <c r="U75" s="156"/>
      <c r="V75" s="156"/>
      <c r="W75" s="156"/>
      <c r="X75" s="156"/>
      <c r="Y75" s="156"/>
      <c r="Z75" s="156"/>
      <c r="AA75" s="156"/>
      <c r="AB75" s="156"/>
      <c r="AC75" s="156"/>
      <c r="AD75" s="156"/>
      <c r="AE75" s="156" t="s">
        <v>586</v>
      </c>
      <c r="AF75" s="156"/>
      <c r="AG75" s="156"/>
      <c r="AH75" s="156"/>
      <c r="AI75" s="156"/>
      <c r="AJ75" s="156"/>
      <c r="AK75" s="156"/>
      <c r="AL75" s="156"/>
      <c r="AM75" s="156"/>
      <c r="AN75" s="156"/>
      <c r="AO75" s="156"/>
    </row>
    <row r="76" spans="1:41" ht="28.95" customHeight="1" x14ac:dyDescent="0.2">
      <c r="A76" s="171"/>
      <c r="B76" s="237" t="s">
        <v>747</v>
      </c>
      <c r="C76" s="237"/>
      <c r="D76" s="237"/>
      <c r="E76" s="237"/>
      <c r="F76" s="150"/>
      <c r="G76" s="150"/>
      <c r="H76" s="150"/>
      <c r="I76" s="150"/>
      <c r="J76" s="150"/>
      <c r="K76" s="150"/>
      <c r="L76" s="150"/>
      <c r="M76" s="150"/>
      <c r="N76" s="150"/>
      <c r="O76" s="150"/>
      <c r="P76" s="150"/>
      <c r="Q76" s="150"/>
      <c r="R76" s="150"/>
      <c r="S76" s="150"/>
      <c r="T76" s="156"/>
      <c r="U76" s="156"/>
      <c r="V76" s="156"/>
      <c r="W76" s="156"/>
      <c r="X76" s="156"/>
      <c r="Y76" s="156"/>
      <c r="Z76" s="156"/>
      <c r="AA76" s="156"/>
      <c r="AB76" s="156"/>
      <c r="AC76" s="156"/>
      <c r="AD76" s="156"/>
      <c r="AE76" s="156"/>
      <c r="AF76" s="156" t="s">
        <v>586</v>
      </c>
      <c r="AG76" s="156"/>
      <c r="AH76" s="156"/>
      <c r="AI76" s="156"/>
      <c r="AJ76" s="156"/>
      <c r="AK76" s="156"/>
      <c r="AL76" s="156"/>
      <c r="AM76" s="156"/>
      <c r="AN76" s="156"/>
      <c r="AO76" s="156"/>
    </row>
    <row r="77" spans="1:41" ht="28.95" customHeight="1" x14ac:dyDescent="0.2">
      <c r="A77" s="171"/>
      <c r="B77" s="237" t="s">
        <v>748</v>
      </c>
      <c r="C77" s="237"/>
      <c r="D77" s="237"/>
      <c r="E77" s="237"/>
      <c r="F77" s="150"/>
      <c r="G77" s="150"/>
      <c r="H77" s="150"/>
      <c r="I77" s="150"/>
      <c r="J77" s="150"/>
      <c r="K77" s="150"/>
      <c r="L77" s="150"/>
      <c r="M77" s="150"/>
      <c r="N77" s="150"/>
      <c r="O77" s="150"/>
      <c r="P77" s="150"/>
      <c r="Q77" s="150"/>
      <c r="R77" s="150"/>
      <c r="S77" s="150"/>
      <c r="T77" s="156"/>
      <c r="U77" s="156"/>
      <c r="V77" s="156"/>
      <c r="W77" s="156"/>
      <c r="X77" s="156"/>
      <c r="Y77" s="156"/>
      <c r="Z77" s="156"/>
      <c r="AA77" s="156"/>
      <c r="AB77" s="156"/>
      <c r="AC77" s="156"/>
      <c r="AD77" s="156"/>
      <c r="AE77" s="156"/>
      <c r="AF77" s="156"/>
      <c r="AG77" s="156" t="s">
        <v>586</v>
      </c>
      <c r="AH77" s="156"/>
      <c r="AI77" s="156"/>
      <c r="AJ77" s="156"/>
      <c r="AK77" s="156"/>
      <c r="AL77" s="156"/>
      <c r="AM77" s="156"/>
      <c r="AN77" s="156"/>
      <c r="AO77" s="156"/>
    </row>
    <row r="78" spans="1:41" ht="28.95" customHeight="1" x14ac:dyDescent="0.2">
      <c r="A78" s="171"/>
      <c r="B78" s="237" t="s">
        <v>749</v>
      </c>
      <c r="C78" s="237"/>
      <c r="D78" s="237"/>
      <c r="E78" s="237"/>
      <c r="F78" s="150"/>
      <c r="G78" s="150"/>
      <c r="H78" s="150"/>
      <c r="I78" s="150"/>
      <c r="J78" s="150"/>
      <c r="K78" s="150"/>
      <c r="L78" s="150"/>
      <c r="M78" s="150"/>
      <c r="N78" s="150"/>
      <c r="O78" s="150"/>
      <c r="P78" s="150"/>
      <c r="Q78" s="150"/>
      <c r="R78" s="150"/>
      <c r="S78" s="150"/>
      <c r="T78" s="156"/>
      <c r="U78" s="156"/>
      <c r="V78" s="156"/>
      <c r="W78" s="156"/>
      <c r="X78" s="156"/>
      <c r="Y78" s="156"/>
      <c r="Z78" s="156"/>
      <c r="AA78" s="156"/>
      <c r="AB78" s="156"/>
      <c r="AC78" s="156"/>
      <c r="AD78" s="156"/>
      <c r="AE78" s="156"/>
      <c r="AF78" s="156"/>
      <c r="AG78" s="156"/>
      <c r="AH78" s="156" t="s">
        <v>586</v>
      </c>
      <c r="AI78" s="156"/>
      <c r="AJ78" s="156"/>
      <c r="AK78" s="156"/>
      <c r="AL78" s="156"/>
      <c r="AM78" s="156"/>
      <c r="AN78" s="156"/>
      <c r="AO78" s="156"/>
    </row>
    <row r="79" spans="1:41" ht="28.95" customHeight="1" x14ac:dyDescent="0.2">
      <c r="A79" s="171"/>
      <c r="B79" s="237" t="s">
        <v>750</v>
      </c>
      <c r="C79" s="237"/>
      <c r="D79" s="237"/>
      <c r="E79" s="237"/>
      <c r="F79" s="150"/>
      <c r="G79" s="150"/>
      <c r="H79" s="150"/>
      <c r="I79" s="150"/>
      <c r="J79" s="150"/>
      <c r="K79" s="150"/>
      <c r="L79" s="150"/>
      <c r="M79" s="150"/>
      <c r="N79" s="150"/>
      <c r="O79" s="150"/>
      <c r="P79" s="150"/>
      <c r="Q79" s="150"/>
      <c r="R79" s="150"/>
      <c r="S79" s="150"/>
      <c r="T79" s="156"/>
      <c r="U79" s="156"/>
      <c r="V79" s="156"/>
      <c r="W79" s="156"/>
      <c r="X79" s="156"/>
      <c r="Y79" s="156"/>
      <c r="Z79" s="156"/>
      <c r="AA79" s="156"/>
      <c r="AB79" s="156"/>
      <c r="AC79" s="156"/>
      <c r="AD79" s="156"/>
      <c r="AE79" s="156"/>
      <c r="AF79" s="156"/>
      <c r="AG79" s="156"/>
      <c r="AH79" s="156"/>
      <c r="AI79" s="156" t="s">
        <v>586</v>
      </c>
      <c r="AJ79" s="156"/>
      <c r="AK79" s="156"/>
      <c r="AL79" s="156"/>
      <c r="AM79" s="156"/>
      <c r="AN79" s="156"/>
      <c r="AO79" s="156"/>
    </row>
    <row r="80" spans="1:41" ht="28.95" customHeight="1" x14ac:dyDescent="0.2">
      <c r="A80" s="171"/>
      <c r="B80" s="237" t="s">
        <v>751</v>
      </c>
      <c r="C80" s="237"/>
      <c r="D80" s="237"/>
      <c r="E80" s="237"/>
      <c r="F80" s="150"/>
      <c r="G80" s="150"/>
      <c r="H80" s="150"/>
      <c r="I80" s="150"/>
      <c r="J80" s="150"/>
      <c r="K80" s="150"/>
      <c r="L80" s="150"/>
      <c r="M80" s="150"/>
      <c r="N80" s="150"/>
      <c r="O80" s="150"/>
      <c r="P80" s="150"/>
      <c r="Q80" s="150"/>
      <c r="R80" s="150"/>
      <c r="S80" s="150"/>
      <c r="T80" s="156"/>
      <c r="U80" s="156"/>
      <c r="V80" s="156"/>
      <c r="W80" s="156"/>
      <c r="X80" s="156"/>
      <c r="Y80" s="156"/>
      <c r="Z80" s="156"/>
      <c r="AA80" s="156"/>
      <c r="AB80" s="156"/>
      <c r="AC80" s="156"/>
      <c r="AD80" s="156"/>
      <c r="AE80" s="156"/>
      <c r="AF80" s="156"/>
      <c r="AG80" s="156"/>
      <c r="AH80" s="156"/>
      <c r="AI80" s="156"/>
      <c r="AJ80" s="156" t="s">
        <v>586</v>
      </c>
      <c r="AK80" s="156"/>
      <c r="AL80" s="156"/>
      <c r="AM80" s="156"/>
      <c r="AN80" s="156"/>
      <c r="AO80" s="156"/>
    </row>
    <row r="81" spans="1:41" ht="42.45" customHeight="1" x14ac:dyDescent="0.2">
      <c r="A81" s="171"/>
      <c r="B81" s="237" t="s">
        <v>752</v>
      </c>
      <c r="C81" s="237"/>
      <c r="D81" s="237"/>
      <c r="E81" s="237"/>
      <c r="F81" s="150"/>
      <c r="G81" s="150"/>
      <c r="H81" s="150"/>
      <c r="I81" s="150"/>
      <c r="J81" s="150"/>
      <c r="K81" s="150"/>
      <c r="L81" s="150"/>
      <c r="M81" s="150"/>
      <c r="N81" s="150"/>
      <c r="O81" s="150"/>
      <c r="P81" s="150"/>
      <c r="Q81" s="150"/>
      <c r="R81" s="150"/>
      <c r="S81" s="150"/>
      <c r="T81" s="156"/>
      <c r="U81" s="156"/>
      <c r="V81" s="156"/>
      <c r="W81" s="156"/>
      <c r="X81" s="156"/>
      <c r="Y81" s="156"/>
      <c r="Z81" s="156"/>
      <c r="AA81" s="156"/>
      <c r="AB81" s="156"/>
      <c r="AC81" s="156"/>
      <c r="AD81" s="156"/>
      <c r="AE81" s="156"/>
      <c r="AF81" s="156"/>
      <c r="AG81" s="156"/>
      <c r="AH81" s="156"/>
      <c r="AI81" s="156"/>
      <c r="AJ81" s="156"/>
      <c r="AK81" s="156" t="s">
        <v>586</v>
      </c>
      <c r="AL81" s="156"/>
      <c r="AM81" s="156"/>
      <c r="AN81" s="156"/>
      <c r="AO81" s="156"/>
    </row>
    <row r="82" spans="1:41" ht="28.95" customHeight="1" x14ac:dyDescent="0.2">
      <c r="A82" s="171"/>
      <c r="B82" s="237" t="s">
        <v>753</v>
      </c>
      <c r="C82" s="237"/>
      <c r="D82" s="237"/>
      <c r="E82" s="237"/>
      <c r="F82" s="150"/>
      <c r="G82" s="150"/>
      <c r="H82" s="150"/>
      <c r="I82" s="150"/>
      <c r="J82" s="150"/>
      <c r="K82" s="150"/>
      <c r="L82" s="150"/>
      <c r="M82" s="150"/>
      <c r="N82" s="150"/>
      <c r="O82" s="150"/>
      <c r="P82" s="150"/>
      <c r="Q82" s="150"/>
      <c r="R82" s="150"/>
      <c r="S82" s="150"/>
      <c r="T82" s="156"/>
      <c r="U82" s="156"/>
      <c r="V82" s="156"/>
      <c r="W82" s="156"/>
      <c r="X82" s="156"/>
      <c r="Y82" s="156"/>
      <c r="Z82" s="156"/>
      <c r="AA82" s="156"/>
      <c r="AB82" s="156"/>
      <c r="AC82" s="156"/>
      <c r="AD82" s="156"/>
      <c r="AE82" s="156"/>
      <c r="AF82" s="156"/>
      <c r="AG82" s="156"/>
      <c r="AH82" s="156"/>
      <c r="AI82" s="156"/>
      <c r="AJ82" s="156"/>
      <c r="AK82" s="156"/>
      <c r="AL82" s="156" t="s">
        <v>586</v>
      </c>
      <c r="AM82" s="156"/>
      <c r="AN82" s="156"/>
      <c r="AO82" s="156"/>
    </row>
    <row r="83" spans="1:41" ht="28.95" customHeight="1" x14ac:dyDescent="0.2">
      <c r="A83" s="171"/>
      <c r="B83" s="237" t="s">
        <v>754</v>
      </c>
      <c r="C83" s="237"/>
      <c r="D83" s="237"/>
      <c r="E83" s="237"/>
      <c r="F83" s="150"/>
      <c r="G83" s="150"/>
      <c r="H83" s="150"/>
      <c r="I83" s="150"/>
      <c r="J83" s="150"/>
      <c r="K83" s="150"/>
      <c r="L83" s="150"/>
      <c r="M83" s="150"/>
      <c r="N83" s="150"/>
      <c r="O83" s="150"/>
      <c r="P83" s="150"/>
      <c r="Q83" s="150"/>
      <c r="R83" s="150"/>
      <c r="S83" s="150"/>
      <c r="T83" s="156"/>
      <c r="U83" s="156"/>
      <c r="V83" s="156"/>
      <c r="W83" s="156"/>
      <c r="X83" s="156"/>
      <c r="Y83" s="156"/>
      <c r="Z83" s="156"/>
      <c r="AA83" s="156"/>
      <c r="AB83" s="156"/>
      <c r="AC83" s="156"/>
      <c r="AD83" s="156"/>
      <c r="AE83" s="156"/>
      <c r="AF83" s="156"/>
      <c r="AG83" s="156"/>
      <c r="AH83" s="156"/>
      <c r="AI83" s="156"/>
      <c r="AJ83" s="156"/>
      <c r="AK83" s="156"/>
      <c r="AL83" s="156"/>
      <c r="AM83" s="156" t="s">
        <v>586</v>
      </c>
      <c r="AN83" s="156"/>
      <c r="AO83" s="156"/>
    </row>
    <row r="84" spans="1:41" ht="28.95" customHeight="1" x14ac:dyDescent="0.2">
      <c r="A84" s="171"/>
      <c r="B84" s="237" t="s">
        <v>755</v>
      </c>
      <c r="C84" s="237"/>
      <c r="D84" s="237"/>
      <c r="E84" s="237"/>
      <c r="F84" s="150"/>
      <c r="G84" s="150"/>
      <c r="H84" s="150"/>
      <c r="I84" s="150"/>
      <c r="J84" s="150"/>
      <c r="K84" s="150"/>
      <c r="L84" s="150"/>
      <c r="M84" s="150"/>
      <c r="N84" s="150"/>
      <c r="O84" s="150"/>
      <c r="P84" s="150"/>
      <c r="Q84" s="150"/>
      <c r="R84" s="150"/>
      <c r="S84" s="150"/>
      <c r="T84" s="156"/>
      <c r="U84" s="156"/>
      <c r="V84" s="156"/>
      <c r="W84" s="156"/>
      <c r="X84" s="156"/>
      <c r="Y84" s="156"/>
      <c r="Z84" s="156"/>
      <c r="AA84" s="156"/>
      <c r="AB84" s="156"/>
      <c r="AC84" s="156"/>
      <c r="AD84" s="156"/>
      <c r="AE84" s="156"/>
      <c r="AF84" s="156"/>
      <c r="AG84" s="156"/>
      <c r="AH84" s="156"/>
      <c r="AI84" s="156"/>
      <c r="AJ84" s="156"/>
      <c r="AK84" s="156"/>
      <c r="AL84" s="156"/>
      <c r="AM84" s="156"/>
      <c r="AN84" s="156" t="s">
        <v>586</v>
      </c>
      <c r="AO84" s="156"/>
    </row>
    <row r="85" spans="1:41" ht="42.45" customHeight="1" x14ac:dyDescent="0.2">
      <c r="A85" s="171"/>
      <c r="B85" s="237" t="s">
        <v>756</v>
      </c>
      <c r="C85" s="237"/>
      <c r="D85" s="237"/>
      <c r="E85" s="237"/>
      <c r="F85" s="150"/>
      <c r="G85" s="150"/>
      <c r="H85" s="150"/>
      <c r="I85" s="150"/>
      <c r="J85" s="150"/>
      <c r="K85" s="150"/>
      <c r="L85" s="150"/>
      <c r="M85" s="150"/>
      <c r="N85" s="150"/>
      <c r="O85" s="150"/>
      <c r="P85" s="150"/>
      <c r="Q85" s="150"/>
      <c r="R85" s="150"/>
      <c r="S85" s="150"/>
      <c r="T85" s="156"/>
      <c r="U85" s="156"/>
      <c r="V85" s="156"/>
      <c r="W85" s="156"/>
      <c r="X85" s="156"/>
      <c r="Y85" s="156"/>
      <c r="Z85" s="156"/>
      <c r="AA85" s="156"/>
      <c r="AB85" s="156"/>
      <c r="AC85" s="156"/>
      <c r="AD85" s="156"/>
      <c r="AE85" s="156"/>
      <c r="AF85" s="156"/>
      <c r="AG85" s="156"/>
      <c r="AH85" s="156"/>
      <c r="AI85" s="156"/>
      <c r="AJ85" s="156"/>
      <c r="AK85" s="156"/>
      <c r="AL85" s="156"/>
      <c r="AM85" s="156"/>
      <c r="AN85" s="156"/>
      <c r="AO85" s="156" t="s">
        <v>586</v>
      </c>
    </row>
    <row r="86" spans="1:41" ht="14.25" customHeight="1" x14ac:dyDescent="0.25">
      <c r="A86" s="171"/>
      <c r="B86" s="172"/>
      <c r="C86" s="173"/>
      <c r="D86" s="174"/>
      <c r="E86" s="175"/>
      <c r="F86" s="150"/>
      <c r="G86" s="150"/>
      <c r="H86" s="150"/>
      <c r="I86" s="150"/>
      <c r="J86" s="150"/>
      <c r="K86" s="150"/>
      <c r="L86" s="150"/>
      <c r="M86" s="150"/>
      <c r="N86" s="150"/>
      <c r="O86" s="150"/>
      <c r="P86" s="150"/>
      <c r="Q86" s="150"/>
      <c r="R86" s="150"/>
      <c r="S86" s="150"/>
      <c r="T86" s="156"/>
      <c r="U86" s="156"/>
      <c r="V86" s="156"/>
      <c r="W86" s="156"/>
      <c r="X86" s="156"/>
      <c r="Y86" s="156"/>
      <c r="Z86" s="156"/>
      <c r="AA86" s="156"/>
      <c r="AB86" s="156"/>
      <c r="AC86" s="156"/>
      <c r="AD86" s="156"/>
      <c r="AE86" s="156"/>
      <c r="AF86" s="156"/>
      <c r="AG86" s="156"/>
      <c r="AH86" s="156"/>
      <c r="AI86" s="156"/>
      <c r="AJ86" s="156"/>
      <c r="AK86" s="156"/>
      <c r="AL86" s="156"/>
      <c r="AM86" s="156"/>
      <c r="AN86" s="156"/>
      <c r="AO86" s="156"/>
    </row>
    <row r="87" spans="1:41" ht="15.45" customHeight="1" x14ac:dyDescent="0.25">
      <c r="A87" s="131" t="s">
        <v>564</v>
      </c>
      <c r="B87" s="237" t="s">
        <v>605</v>
      </c>
      <c r="C87" s="237"/>
      <c r="D87" s="237"/>
      <c r="E87" s="175"/>
      <c r="F87" s="150" t="s">
        <v>554</v>
      </c>
      <c r="G87" s="150" t="s">
        <v>554</v>
      </c>
      <c r="H87" s="150" t="s">
        <v>554</v>
      </c>
      <c r="I87" s="150" t="s">
        <v>554</v>
      </c>
      <c r="J87" s="150" t="s">
        <v>554</v>
      </c>
      <c r="K87" s="150" t="s">
        <v>554</v>
      </c>
      <c r="L87" s="150" t="s">
        <v>554</v>
      </c>
      <c r="M87" s="150" t="s">
        <v>554</v>
      </c>
      <c r="N87" s="150" t="s">
        <v>554</v>
      </c>
      <c r="O87" s="150" t="s">
        <v>554</v>
      </c>
      <c r="P87" s="150" t="s">
        <v>554</v>
      </c>
      <c r="Q87" s="150" t="s">
        <v>555</v>
      </c>
      <c r="R87" s="150" t="s">
        <v>554</v>
      </c>
      <c r="S87" s="150" t="s">
        <v>554</v>
      </c>
      <c r="T87" s="156" t="s">
        <v>554</v>
      </c>
      <c r="U87" s="156" t="s">
        <v>554</v>
      </c>
      <c r="V87" s="156" t="s">
        <v>556</v>
      </c>
      <c r="W87" s="156" t="s">
        <v>556</v>
      </c>
      <c r="X87" s="156" t="s">
        <v>554</v>
      </c>
      <c r="Y87" s="156" t="s">
        <v>556</v>
      </c>
      <c r="Z87" s="156" t="s">
        <v>555</v>
      </c>
      <c r="AA87" s="156" t="s">
        <v>556</v>
      </c>
      <c r="AB87" s="156" t="s">
        <v>554</v>
      </c>
      <c r="AC87" s="156" t="s">
        <v>555</v>
      </c>
      <c r="AD87" s="156" t="s">
        <v>555</v>
      </c>
      <c r="AE87" s="156" t="s">
        <v>554</v>
      </c>
      <c r="AF87" s="156" t="s">
        <v>555</v>
      </c>
      <c r="AG87" s="156" t="s">
        <v>556</v>
      </c>
      <c r="AH87" s="156" t="s">
        <v>554</v>
      </c>
      <c r="AI87" s="156" t="s">
        <v>554</v>
      </c>
      <c r="AJ87" s="156" t="s">
        <v>555</v>
      </c>
      <c r="AK87" s="156" t="s">
        <v>555</v>
      </c>
      <c r="AL87" s="156" t="s">
        <v>554</v>
      </c>
      <c r="AM87" s="156" t="s">
        <v>555</v>
      </c>
      <c r="AN87" s="156" t="s">
        <v>555</v>
      </c>
      <c r="AO87" s="156" t="s">
        <v>554</v>
      </c>
    </row>
    <row r="88" spans="1:41" ht="15.45" customHeight="1" x14ac:dyDescent="0.25">
      <c r="A88" s="171"/>
      <c r="B88" s="237" t="s">
        <v>606</v>
      </c>
      <c r="C88" s="237"/>
      <c r="D88" s="237"/>
      <c r="E88" s="175"/>
      <c r="F88" s="150" t="s">
        <v>607</v>
      </c>
      <c r="G88" s="150" t="s">
        <v>607</v>
      </c>
      <c r="H88" s="150" t="s">
        <v>607</v>
      </c>
      <c r="I88" s="150" t="s">
        <v>607</v>
      </c>
      <c r="J88" s="150" t="s">
        <v>607</v>
      </c>
      <c r="K88" s="150" t="s">
        <v>607</v>
      </c>
      <c r="L88" s="150" t="s">
        <v>607</v>
      </c>
      <c r="M88" s="150" t="s">
        <v>607</v>
      </c>
      <c r="N88" s="150" t="s">
        <v>607</v>
      </c>
      <c r="O88" s="150" t="s">
        <v>607</v>
      </c>
      <c r="P88" s="150" t="s">
        <v>607</v>
      </c>
      <c r="Q88" s="150" t="s">
        <v>607</v>
      </c>
      <c r="R88" s="150" t="s">
        <v>607</v>
      </c>
      <c r="S88" s="150" t="s">
        <v>607</v>
      </c>
      <c r="T88" s="156" t="s">
        <v>607</v>
      </c>
      <c r="U88" s="156" t="s">
        <v>607</v>
      </c>
      <c r="V88" s="156" t="s">
        <v>607</v>
      </c>
      <c r="W88" s="156" t="s">
        <v>607</v>
      </c>
      <c r="X88" s="156" t="s">
        <v>607</v>
      </c>
      <c r="Y88" s="156" t="s">
        <v>607</v>
      </c>
      <c r="Z88" s="156" t="s">
        <v>607</v>
      </c>
      <c r="AA88" s="156" t="s">
        <v>607</v>
      </c>
      <c r="AB88" s="156" t="s">
        <v>607</v>
      </c>
      <c r="AC88" s="156" t="s">
        <v>607</v>
      </c>
      <c r="AD88" s="156" t="s">
        <v>607</v>
      </c>
      <c r="AE88" s="156" t="s">
        <v>607</v>
      </c>
      <c r="AF88" s="156" t="s">
        <v>607</v>
      </c>
      <c r="AG88" s="156" t="s">
        <v>607</v>
      </c>
      <c r="AH88" s="156" t="s">
        <v>607</v>
      </c>
      <c r="AI88" s="156" t="s">
        <v>607</v>
      </c>
      <c r="AJ88" s="156" t="s">
        <v>607</v>
      </c>
      <c r="AK88" s="156" t="s">
        <v>757</v>
      </c>
      <c r="AL88" s="156" t="s">
        <v>607</v>
      </c>
      <c r="AM88" s="156" t="s">
        <v>607</v>
      </c>
      <c r="AN88" s="156" t="s">
        <v>607</v>
      </c>
      <c r="AO88" s="156" t="s">
        <v>607</v>
      </c>
    </row>
    <row r="89" spans="1:41" ht="28.95" customHeight="1" x14ac:dyDescent="0.25">
      <c r="A89" s="171"/>
      <c r="B89" s="237" t="s">
        <v>608</v>
      </c>
      <c r="C89" s="237"/>
      <c r="D89" s="237"/>
      <c r="E89" s="175"/>
      <c r="F89" s="150" t="s">
        <v>609</v>
      </c>
      <c r="G89" s="150" t="s">
        <v>609</v>
      </c>
      <c r="H89" s="150" t="s">
        <v>609</v>
      </c>
      <c r="I89" s="150" t="s">
        <v>609</v>
      </c>
      <c r="J89" s="150" t="s">
        <v>609</v>
      </c>
      <c r="K89" s="150" t="s">
        <v>609</v>
      </c>
      <c r="L89" s="150" t="s">
        <v>609</v>
      </c>
      <c r="M89" s="150" t="s">
        <v>609</v>
      </c>
      <c r="N89" s="150" t="s">
        <v>609</v>
      </c>
      <c r="O89" s="150" t="s">
        <v>609</v>
      </c>
      <c r="P89" s="150" t="s">
        <v>609</v>
      </c>
      <c r="Q89" s="150" t="s">
        <v>609</v>
      </c>
      <c r="R89" s="150" t="s">
        <v>609</v>
      </c>
      <c r="S89" s="150" t="s">
        <v>609</v>
      </c>
      <c r="T89" s="156" t="s">
        <v>609</v>
      </c>
      <c r="U89" s="156" t="s">
        <v>609</v>
      </c>
      <c r="V89" s="156" t="s">
        <v>609</v>
      </c>
      <c r="W89" s="156" t="s">
        <v>609</v>
      </c>
      <c r="X89" s="156" t="s">
        <v>609</v>
      </c>
      <c r="Y89" s="156" t="s">
        <v>609</v>
      </c>
      <c r="Z89" s="156" t="s">
        <v>609</v>
      </c>
      <c r="AA89" s="156" t="s">
        <v>609</v>
      </c>
      <c r="AB89" s="156" t="s">
        <v>609</v>
      </c>
      <c r="AC89" s="156" t="s">
        <v>609</v>
      </c>
      <c r="AD89" s="156" t="s">
        <v>609</v>
      </c>
      <c r="AE89" s="156" t="s">
        <v>609</v>
      </c>
      <c r="AF89" s="156" t="s">
        <v>609</v>
      </c>
      <c r="AG89" s="156" t="s">
        <v>609</v>
      </c>
      <c r="AH89" s="156" t="s">
        <v>609</v>
      </c>
      <c r="AI89" s="156" t="s">
        <v>609</v>
      </c>
      <c r="AJ89" s="156" t="s">
        <v>609</v>
      </c>
      <c r="AK89" s="156" t="s">
        <v>609</v>
      </c>
      <c r="AL89" s="156" t="s">
        <v>609</v>
      </c>
      <c r="AM89" s="156" t="s">
        <v>609</v>
      </c>
      <c r="AN89" s="156" t="s">
        <v>609</v>
      </c>
      <c r="AO89" s="156" t="s">
        <v>609</v>
      </c>
    </row>
    <row r="90" spans="1:41" ht="15.45" customHeight="1" x14ac:dyDescent="0.25">
      <c r="A90" s="171"/>
      <c r="B90" s="237" t="s">
        <v>610</v>
      </c>
      <c r="C90" s="237"/>
      <c r="D90" s="237"/>
      <c r="E90" s="175"/>
      <c r="F90" s="150"/>
      <c r="G90" s="150"/>
      <c r="H90" s="150"/>
      <c r="I90" s="150"/>
      <c r="J90" s="150"/>
      <c r="K90" s="150"/>
      <c r="L90" s="150"/>
      <c r="M90" s="150"/>
      <c r="N90" s="150"/>
      <c r="O90" s="150"/>
      <c r="P90" s="150"/>
      <c r="Q90" s="150"/>
      <c r="R90" s="150"/>
      <c r="S90" s="150"/>
      <c r="T90" s="156"/>
      <c r="U90" s="156"/>
      <c r="V90" s="156"/>
      <c r="W90" s="156"/>
      <c r="X90" s="156"/>
      <c r="Y90" s="156"/>
      <c r="Z90" s="156"/>
      <c r="AA90" s="156"/>
      <c r="AB90" s="156"/>
      <c r="AC90" s="156"/>
      <c r="AD90" s="156"/>
      <c r="AE90" s="156"/>
      <c r="AF90" s="156"/>
      <c r="AG90" s="156"/>
      <c r="AH90" s="156"/>
      <c r="AI90" s="156"/>
      <c r="AJ90" s="156"/>
      <c r="AK90" s="156"/>
      <c r="AL90" s="156"/>
      <c r="AM90" s="156"/>
      <c r="AN90" s="156"/>
      <c r="AO90" s="156"/>
    </row>
  </sheetData>
  <autoFilter ref="F9:AO90" xr:uid="{00000000-0009-0000-0000-000006000000}"/>
  <mergeCells count="99">
    <mergeCell ref="B90:D90"/>
    <mergeCell ref="B84:E84"/>
    <mergeCell ref="B85:E85"/>
    <mergeCell ref="B87:D87"/>
    <mergeCell ref="B88:D88"/>
    <mergeCell ref="B89:D89"/>
    <mergeCell ref="B79:E79"/>
    <mergeCell ref="B80:E80"/>
    <mergeCell ref="B81:E81"/>
    <mergeCell ref="B82:E82"/>
    <mergeCell ref="B83:E83"/>
    <mergeCell ref="B74:E74"/>
    <mergeCell ref="B75:E75"/>
    <mergeCell ref="B76:E76"/>
    <mergeCell ref="B77:E77"/>
    <mergeCell ref="B78:E78"/>
    <mergeCell ref="B69:E69"/>
    <mergeCell ref="B70:E70"/>
    <mergeCell ref="B71:E71"/>
    <mergeCell ref="B72:E72"/>
    <mergeCell ref="B73:E73"/>
    <mergeCell ref="B64:E64"/>
    <mergeCell ref="B65:E65"/>
    <mergeCell ref="B66:E66"/>
    <mergeCell ref="B67:E67"/>
    <mergeCell ref="B68:E68"/>
    <mergeCell ref="B59:E59"/>
    <mergeCell ref="B60:E60"/>
    <mergeCell ref="B61:E61"/>
    <mergeCell ref="B62:E62"/>
    <mergeCell ref="B63:E63"/>
    <mergeCell ref="B54:E54"/>
    <mergeCell ref="B55:E55"/>
    <mergeCell ref="B56:E56"/>
    <mergeCell ref="B57:E57"/>
    <mergeCell ref="B58:E58"/>
    <mergeCell ref="B47:E47"/>
    <mergeCell ref="B50:E50"/>
    <mergeCell ref="B51:E51"/>
    <mergeCell ref="B52:E52"/>
    <mergeCell ref="B53:E53"/>
    <mergeCell ref="B42:E42"/>
    <mergeCell ref="B43:E43"/>
    <mergeCell ref="B44:E44"/>
    <mergeCell ref="B45:E45"/>
    <mergeCell ref="B46:E46"/>
    <mergeCell ref="B37:E37"/>
    <mergeCell ref="B38:E38"/>
    <mergeCell ref="B39:E39"/>
    <mergeCell ref="B40:E40"/>
    <mergeCell ref="B41:E41"/>
    <mergeCell ref="B32:E32"/>
    <mergeCell ref="B33:E33"/>
    <mergeCell ref="B34:E34"/>
    <mergeCell ref="B35:E35"/>
    <mergeCell ref="B36:E36"/>
    <mergeCell ref="B27:E27"/>
    <mergeCell ref="B28:E28"/>
    <mergeCell ref="B29:E29"/>
    <mergeCell ref="B30:E30"/>
    <mergeCell ref="B31:E31"/>
    <mergeCell ref="B22:E22"/>
    <mergeCell ref="B23:E23"/>
    <mergeCell ref="B24:E24"/>
    <mergeCell ref="B25:E25"/>
    <mergeCell ref="B26:E26"/>
    <mergeCell ref="B17:E17"/>
    <mergeCell ref="B18:E18"/>
    <mergeCell ref="B19:E19"/>
    <mergeCell ref="B20:E20"/>
    <mergeCell ref="B21:E21"/>
    <mergeCell ref="B12:E12"/>
    <mergeCell ref="B13:E13"/>
    <mergeCell ref="B14:E14"/>
    <mergeCell ref="B15:E15"/>
    <mergeCell ref="B16:E16"/>
    <mergeCell ref="A7:B7"/>
    <mergeCell ref="C7:E7"/>
    <mergeCell ref="F7:K7"/>
    <mergeCell ref="O7:AO7"/>
    <mergeCell ref="B11:E11"/>
    <mergeCell ref="A6:B6"/>
    <mergeCell ref="C6:E6"/>
    <mergeCell ref="F6:K6"/>
    <mergeCell ref="L6:N6"/>
    <mergeCell ref="O6:AO6"/>
    <mergeCell ref="A4:E4"/>
    <mergeCell ref="F4:K4"/>
    <mergeCell ref="L4:AO4"/>
    <mergeCell ref="A5:B5"/>
    <mergeCell ref="C5:AO5"/>
    <mergeCell ref="A2:B2"/>
    <mergeCell ref="C2:E2"/>
    <mergeCell ref="F2:K2"/>
    <mergeCell ref="L2:AO2"/>
    <mergeCell ref="A3:B3"/>
    <mergeCell ref="C3:E3"/>
    <mergeCell ref="F3:K3"/>
    <mergeCell ref="L3:AO3"/>
  </mergeCells>
  <pageMargins left="0.25" right="0.25" top="1" bottom="1" header="0.5" footer="0.5"/>
  <pageSetup fitToHeight="0" orientation="portrait" useFirstPageNumber="1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P40"/>
  <sheetViews>
    <sheetView zoomScale="85" zoomScaleNormal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3.5" customHeight="1" x14ac:dyDescent="0.2"/>
  <cols>
    <col min="1" max="1" width="11" customWidth="1"/>
    <col min="2" max="2" width="15" customWidth="1"/>
    <col min="3" max="3" width="20" customWidth="1"/>
    <col min="4" max="5" width="13" customWidth="1"/>
    <col min="6" max="6" width="10" customWidth="1"/>
    <col min="7" max="16" width="13" customWidth="1"/>
    <col min="17" max="90" width="8.33203125" customWidth="1"/>
  </cols>
  <sheetData>
    <row r="1" spans="1:16" ht="13.5" customHeight="1" x14ac:dyDescent="0.2">
      <c r="A1" s="121"/>
      <c r="B1" s="122"/>
      <c r="C1" s="123"/>
      <c r="D1" s="123"/>
      <c r="E1" s="123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</row>
    <row r="2" spans="1:16" ht="27.9" customHeight="1" x14ac:dyDescent="0.2">
      <c r="A2" s="221" t="s">
        <v>568</v>
      </c>
      <c r="B2" s="221"/>
      <c r="C2" s="222" t="s">
        <v>101</v>
      </c>
      <c r="D2" s="222"/>
      <c r="E2" s="222"/>
      <c r="F2" s="223" t="s">
        <v>78</v>
      </c>
      <c r="G2" s="223"/>
      <c r="H2" s="223"/>
      <c r="I2" s="223"/>
      <c r="J2" s="223"/>
      <c r="K2" s="223"/>
      <c r="L2" s="224" t="str">
        <f>FunctionList!D14</f>
        <v>See the per-case source map in the evidence document</v>
      </c>
      <c r="M2" s="224"/>
      <c r="N2" s="224"/>
      <c r="O2" s="224"/>
      <c r="P2" s="224"/>
    </row>
    <row r="3" spans="1:16" ht="27.9" customHeight="1" x14ac:dyDescent="0.2">
      <c r="A3" s="221" t="s">
        <v>569</v>
      </c>
      <c r="B3" s="221"/>
      <c r="C3" s="222" t="s">
        <v>49</v>
      </c>
      <c r="D3" s="222"/>
      <c r="E3" s="222"/>
      <c r="F3" s="223" t="s">
        <v>570</v>
      </c>
      <c r="G3" s="223"/>
      <c r="H3" s="223"/>
      <c r="I3" s="223"/>
      <c r="J3" s="223"/>
      <c r="K3" s="223"/>
      <c r="L3" s="225"/>
      <c r="M3" s="225"/>
      <c r="N3" s="225"/>
      <c r="O3" s="225"/>
      <c r="P3" s="225"/>
    </row>
    <row r="4" spans="1:16" ht="27.9" customHeight="1" x14ac:dyDescent="0.2">
      <c r="A4" s="221" t="s">
        <v>571</v>
      </c>
      <c r="B4" s="221"/>
      <c r="C4" s="221"/>
      <c r="D4" s="221"/>
      <c r="E4" s="221"/>
      <c r="F4" s="223" t="s">
        <v>572</v>
      </c>
      <c r="G4" s="223"/>
      <c r="H4" s="223"/>
      <c r="I4" s="223"/>
      <c r="J4" s="223"/>
      <c r="K4" s="223"/>
      <c r="L4" s="226">
        <f>IF(ISNUMBER(FunctionList!E6),MAX(0,ROUNDUP(C4*FunctionList!E6/1000,0)-O7),"N/A")</f>
        <v>0</v>
      </c>
      <c r="M4" s="226"/>
      <c r="N4" s="226"/>
      <c r="O4" s="226"/>
      <c r="P4" s="226"/>
    </row>
    <row r="5" spans="1:16" ht="63.9" customHeight="1" x14ac:dyDescent="0.2">
      <c r="A5" s="221" t="s">
        <v>573</v>
      </c>
      <c r="B5" s="221"/>
      <c r="C5" s="227" t="s">
        <v>758</v>
      </c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</row>
    <row r="6" spans="1:16" ht="27.9" customHeight="1" x14ac:dyDescent="0.2">
      <c r="A6" s="223" t="s">
        <v>551</v>
      </c>
      <c r="B6" s="223"/>
      <c r="C6" s="223" t="s">
        <v>552</v>
      </c>
      <c r="D6" s="223"/>
      <c r="E6" s="223"/>
      <c r="F6" s="223" t="s">
        <v>553</v>
      </c>
      <c r="G6" s="223"/>
      <c r="H6" s="223"/>
      <c r="I6" s="223"/>
      <c r="J6" s="223"/>
      <c r="K6" s="223"/>
      <c r="L6" s="223" t="s">
        <v>575</v>
      </c>
      <c r="M6" s="223"/>
      <c r="N6" s="223"/>
      <c r="O6" s="223" t="s">
        <v>557</v>
      </c>
      <c r="P6" s="223"/>
    </row>
    <row r="7" spans="1:16" ht="27.9" customHeight="1" x14ac:dyDescent="0.2">
      <c r="A7" s="226">
        <f>COUNTIF(F38:P38,"P")</f>
        <v>11</v>
      </c>
      <c r="B7" s="226"/>
      <c r="C7" s="226">
        <f>COUNTIF(F38:P38,"F")</f>
        <v>0</v>
      </c>
      <c r="D7" s="226"/>
      <c r="E7" s="226"/>
      <c r="F7" s="226">
        <f>O7-A7-C7</f>
        <v>0</v>
      </c>
      <c r="G7" s="226"/>
      <c r="H7" s="226"/>
      <c r="I7" s="226"/>
      <c r="J7" s="226"/>
      <c r="K7" s="226"/>
      <c r="L7" s="126">
        <f>COUNTIF(F37:P37,"N")</f>
        <v>7</v>
      </c>
      <c r="M7" s="126">
        <f>COUNTIF(F37:P37,"A")</f>
        <v>4</v>
      </c>
      <c r="N7" s="126">
        <f>COUNTIF(F37:P37,"B")</f>
        <v>0</v>
      </c>
      <c r="O7" s="226">
        <f>COUNTA(F9:P9)</f>
        <v>11</v>
      </c>
      <c r="P7" s="226"/>
    </row>
    <row r="8" spans="1:16" ht="13.5" customHeight="1" x14ac:dyDescent="0.2">
      <c r="A8" s="123"/>
      <c r="B8" s="127"/>
      <c r="C8" s="123"/>
      <c r="D8" s="123"/>
      <c r="E8" s="123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</row>
    <row r="9" spans="1:16" ht="42" customHeight="1" x14ac:dyDescent="0.2">
      <c r="A9" s="128"/>
      <c r="B9" s="129"/>
      <c r="C9" s="129"/>
      <c r="D9" s="129"/>
      <c r="E9" s="129"/>
      <c r="F9" s="130" t="s">
        <v>576</v>
      </c>
      <c r="G9" s="130" t="s">
        <v>577</v>
      </c>
      <c r="H9" s="130" t="s">
        <v>578</v>
      </c>
      <c r="I9" s="130" t="s">
        <v>579</v>
      </c>
      <c r="J9" s="130" t="s">
        <v>580</v>
      </c>
      <c r="K9" s="130" t="s">
        <v>581</v>
      </c>
      <c r="L9" s="130" t="s">
        <v>582</v>
      </c>
      <c r="M9" s="130" t="s">
        <v>583</v>
      </c>
      <c r="N9" s="130" t="s">
        <v>612</v>
      </c>
      <c r="O9" s="130" t="s">
        <v>613</v>
      </c>
      <c r="P9" s="130" t="s">
        <v>614</v>
      </c>
    </row>
    <row r="10" spans="1:16" ht="15.45" customHeight="1" x14ac:dyDescent="0.2">
      <c r="A10" s="131" t="s">
        <v>584</v>
      </c>
      <c r="B10" s="132" t="s">
        <v>585</v>
      </c>
      <c r="C10" s="133"/>
      <c r="D10" s="134"/>
      <c r="E10" s="135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</row>
    <row r="11" spans="1:16" ht="28.95" customHeight="1" x14ac:dyDescent="0.2">
      <c r="A11" s="137"/>
      <c r="B11" s="228" t="s">
        <v>103</v>
      </c>
      <c r="C11" s="228"/>
      <c r="D11" s="228"/>
      <c r="E11" s="228"/>
      <c r="F11" s="126" t="s">
        <v>586</v>
      </c>
      <c r="G11" s="126" t="s">
        <v>586</v>
      </c>
      <c r="H11" s="126" t="s">
        <v>586</v>
      </c>
      <c r="I11" s="126" t="s">
        <v>586</v>
      </c>
      <c r="J11" s="126" t="s">
        <v>586</v>
      </c>
      <c r="K11" s="126" t="s">
        <v>586</v>
      </c>
      <c r="L11" s="126" t="s">
        <v>586</v>
      </c>
      <c r="M11" s="126" t="s">
        <v>586</v>
      </c>
      <c r="N11" s="126" t="s">
        <v>586</v>
      </c>
      <c r="O11" s="126" t="s">
        <v>586</v>
      </c>
      <c r="P11" s="126" t="s">
        <v>586</v>
      </c>
    </row>
    <row r="12" spans="1:16" ht="15.45" customHeight="1" x14ac:dyDescent="0.2">
      <c r="A12" s="137"/>
      <c r="B12" s="228" t="s">
        <v>759</v>
      </c>
      <c r="C12" s="228"/>
      <c r="D12" s="228"/>
      <c r="E12" s="228"/>
      <c r="F12" s="126" t="s">
        <v>586</v>
      </c>
      <c r="G12" s="126"/>
      <c r="H12" s="126"/>
      <c r="I12" s="126"/>
      <c r="J12" s="126"/>
      <c r="K12" s="126"/>
      <c r="L12" s="126"/>
      <c r="M12" s="126"/>
      <c r="N12" s="126"/>
      <c r="O12" s="126"/>
      <c r="P12" s="126"/>
    </row>
    <row r="13" spans="1:16" ht="15.45" customHeight="1" x14ac:dyDescent="0.2">
      <c r="A13" s="137"/>
      <c r="B13" s="228" t="s">
        <v>760</v>
      </c>
      <c r="C13" s="228"/>
      <c r="D13" s="228"/>
      <c r="E13" s="228"/>
      <c r="F13" s="126"/>
      <c r="G13" s="126" t="s">
        <v>586</v>
      </c>
      <c r="H13" s="126"/>
      <c r="I13" s="126"/>
      <c r="J13" s="126"/>
      <c r="K13" s="126"/>
      <c r="L13" s="126"/>
      <c r="M13" s="126"/>
      <c r="N13" s="126"/>
      <c r="O13" s="126"/>
      <c r="P13" s="126"/>
    </row>
    <row r="14" spans="1:16" ht="15.45" customHeight="1" x14ac:dyDescent="0.2">
      <c r="A14" s="137"/>
      <c r="B14" s="228" t="s">
        <v>761</v>
      </c>
      <c r="C14" s="228"/>
      <c r="D14" s="228"/>
      <c r="E14" s="228"/>
      <c r="F14" s="126"/>
      <c r="G14" s="126"/>
      <c r="H14" s="139" t="s">
        <v>586</v>
      </c>
      <c r="I14" s="126"/>
      <c r="J14" s="126"/>
      <c r="K14" s="126"/>
      <c r="L14" s="126"/>
      <c r="M14" s="126"/>
      <c r="N14" s="126"/>
      <c r="O14" s="126"/>
      <c r="P14" s="126"/>
    </row>
    <row r="15" spans="1:16" ht="15.45" customHeight="1" x14ac:dyDescent="0.2">
      <c r="A15" s="137"/>
      <c r="B15" s="228" t="s">
        <v>762</v>
      </c>
      <c r="C15" s="228"/>
      <c r="D15" s="228"/>
      <c r="E15" s="228"/>
      <c r="F15" s="126"/>
      <c r="G15" s="126"/>
      <c r="H15" s="126"/>
      <c r="I15" s="140" t="s">
        <v>586</v>
      </c>
      <c r="J15" s="126"/>
      <c r="K15" s="126"/>
      <c r="L15" s="126"/>
      <c r="M15" s="126"/>
      <c r="N15" s="126"/>
      <c r="O15" s="126"/>
      <c r="P15" s="126"/>
    </row>
    <row r="16" spans="1:16" ht="15.45" customHeight="1" x14ac:dyDescent="0.2">
      <c r="A16" s="137"/>
      <c r="B16" s="228" t="s">
        <v>763</v>
      </c>
      <c r="C16" s="228"/>
      <c r="D16" s="228"/>
      <c r="E16" s="228"/>
      <c r="F16" s="126"/>
      <c r="G16" s="126"/>
      <c r="H16" s="141"/>
      <c r="I16" s="126"/>
      <c r="J16" s="126" t="s">
        <v>586</v>
      </c>
      <c r="K16" s="126"/>
      <c r="L16" s="126"/>
      <c r="M16" s="126"/>
      <c r="N16" s="126"/>
      <c r="O16" s="126"/>
      <c r="P16" s="126"/>
    </row>
    <row r="17" spans="1:16" ht="28.95" customHeight="1" x14ac:dyDescent="0.2">
      <c r="A17" s="137"/>
      <c r="B17" s="228" t="s">
        <v>764</v>
      </c>
      <c r="C17" s="228"/>
      <c r="D17" s="228"/>
      <c r="E17" s="228"/>
      <c r="F17" s="126"/>
      <c r="G17" s="126"/>
      <c r="H17" s="126"/>
      <c r="I17" s="126"/>
      <c r="J17" s="126"/>
      <c r="K17" s="126" t="s">
        <v>586</v>
      </c>
      <c r="L17" s="126"/>
      <c r="M17" s="126"/>
      <c r="N17" s="126"/>
      <c r="O17" s="126"/>
      <c r="P17" s="126"/>
    </row>
    <row r="18" spans="1:16" ht="15.45" customHeight="1" x14ac:dyDescent="0.2">
      <c r="A18" s="137"/>
      <c r="B18" s="228" t="s">
        <v>765</v>
      </c>
      <c r="C18" s="228"/>
      <c r="D18" s="228"/>
      <c r="E18" s="228"/>
      <c r="F18" s="126"/>
      <c r="G18" s="126"/>
      <c r="H18" s="126"/>
      <c r="I18" s="126"/>
      <c r="J18" s="126"/>
      <c r="K18" s="126"/>
      <c r="L18" s="126" t="s">
        <v>586</v>
      </c>
      <c r="M18" s="126"/>
      <c r="N18" s="126"/>
      <c r="O18" s="126"/>
      <c r="P18" s="126"/>
    </row>
    <row r="19" spans="1:16" ht="15.45" customHeight="1" x14ac:dyDescent="0.2">
      <c r="A19" s="137"/>
      <c r="B19" s="228" t="s">
        <v>766</v>
      </c>
      <c r="C19" s="228"/>
      <c r="D19" s="228"/>
      <c r="E19" s="228"/>
      <c r="F19" s="126"/>
      <c r="G19" s="126"/>
      <c r="H19" s="126"/>
      <c r="I19" s="126"/>
      <c r="J19" s="126"/>
      <c r="K19" s="126"/>
      <c r="L19" s="126"/>
      <c r="M19" s="126" t="s">
        <v>586</v>
      </c>
      <c r="N19" s="126"/>
      <c r="O19" s="126"/>
      <c r="P19" s="126"/>
    </row>
    <row r="20" spans="1:16" ht="28.95" customHeight="1" x14ac:dyDescent="0.2">
      <c r="A20" s="137"/>
      <c r="B20" s="228" t="s">
        <v>767</v>
      </c>
      <c r="C20" s="228"/>
      <c r="D20" s="228"/>
      <c r="E20" s="228"/>
      <c r="F20" s="126"/>
      <c r="G20" s="126"/>
      <c r="H20" s="126"/>
      <c r="I20" s="126"/>
      <c r="J20" s="126"/>
      <c r="K20" s="126"/>
      <c r="L20" s="126"/>
      <c r="M20" s="126"/>
      <c r="N20" s="126" t="s">
        <v>586</v>
      </c>
      <c r="O20" s="126"/>
      <c r="P20" s="126"/>
    </row>
    <row r="21" spans="1:16" ht="28.95" customHeight="1" x14ac:dyDescent="0.2">
      <c r="A21" s="137"/>
      <c r="B21" s="228" t="s">
        <v>768</v>
      </c>
      <c r="C21" s="228"/>
      <c r="D21" s="228"/>
      <c r="E21" s="228"/>
      <c r="F21" s="126"/>
      <c r="G21" s="126"/>
      <c r="H21" s="126"/>
      <c r="I21" s="126"/>
      <c r="J21" s="126"/>
      <c r="K21" s="126"/>
      <c r="L21" s="126"/>
      <c r="M21" s="126"/>
      <c r="N21" s="126"/>
      <c r="O21" s="126" t="s">
        <v>586</v>
      </c>
      <c r="P21" s="126"/>
    </row>
    <row r="22" spans="1:16" ht="28.95" customHeight="1" x14ac:dyDescent="0.2">
      <c r="A22" s="137"/>
      <c r="B22" s="228" t="s">
        <v>769</v>
      </c>
      <c r="C22" s="228"/>
      <c r="D22" s="228"/>
      <c r="E22" s="228"/>
      <c r="F22" s="126"/>
      <c r="G22" s="126"/>
      <c r="H22" s="126"/>
      <c r="I22" s="126"/>
      <c r="J22" s="126"/>
      <c r="K22" s="141"/>
      <c r="L22" s="126"/>
      <c r="M22" s="126"/>
      <c r="N22" s="126"/>
      <c r="O22" s="126"/>
      <c r="P22" s="126" t="s">
        <v>586</v>
      </c>
    </row>
    <row r="23" spans="1:16" ht="13.2" customHeight="1" x14ac:dyDescent="0.2">
      <c r="A23" s="137"/>
      <c r="B23" s="138"/>
      <c r="C23" s="143"/>
      <c r="D23" s="179"/>
      <c r="E23" s="135"/>
      <c r="F23" s="126"/>
      <c r="G23" s="126"/>
      <c r="H23" s="126"/>
      <c r="I23" s="126"/>
      <c r="J23" s="126"/>
      <c r="K23" s="126"/>
      <c r="L23" s="126"/>
      <c r="M23" s="126"/>
      <c r="N23" s="126"/>
      <c r="O23" s="126"/>
      <c r="P23" s="126"/>
    </row>
    <row r="24" spans="1:16" ht="28.95" customHeight="1" x14ac:dyDescent="0.2">
      <c r="A24" s="131" t="s">
        <v>595</v>
      </c>
      <c r="B24" s="138" t="s">
        <v>596</v>
      </c>
      <c r="C24" s="143"/>
      <c r="D24" s="179"/>
      <c r="E24" s="135"/>
      <c r="F24" s="145"/>
      <c r="G24" s="145"/>
      <c r="H24" s="145"/>
      <c r="I24" s="145"/>
      <c r="J24" s="145"/>
      <c r="K24" s="145"/>
      <c r="L24" s="145"/>
      <c r="M24" s="145"/>
      <c r="N24" s="145"/>
      <c r="O24" s="145"/>
      <c r="P24" s="145"/>
    </row>
    <row r="25" spans="1:16" ht="28.95" customHeight="1" x14ac:dyDescent="0.2">
      <c r="A25" s="137"/>
      <c r="B25" s="228" t="s">
        <v>770</v>
      </c>
      <c r="C25" s="228"/>
      <c r="D25" s="228"/>
      <c r="E25" s="228"/>
      <c r="F25" s="141" t="s">
        <v>586</v>
      </c>
      <c r="G25" s="126"/>
      <c r="H25" s="126"/>
      <c r="I25" s="126"/>
      <c r="J25" s="126"/>
      <c r="K25" s="126"/>
      <c r="L25" s="126"/>
      <c r="M25" s="126"/>
      <c r="N25" s="126"/>
      <c r="O25" s="126"/>
      <c r="P25" s="126"/>
    </row>
    <row r="26" spans="1:16" ht="28.95" customHeight="1" x14ac:dyDescent="0.2">
      <c r="A26" s="137"/>
      <c r="B26" s="228" t="s">
        <v>771</v>
      </c>
      <c r="C26" s="228"/>
      <c r="D26" s="228"/>
      <c r="E26" s="228"/>
      <c r="F26" s="126"/>
      <c r="G26" s="126" t="s">
        <v>586</v>
      </c>
      <c r="H26" s="126"/>
      <c r="I26" s="126"/>
      <c r="J26" s="126"/>
      <c r="K26" s="126"/>
      <c r="L26" s="140"/>
      <c r="M26" s="126"/>
      <c r="N26" s="126"/>
      <c r="O26" s="126"/>
      <c r="P26" s="126"/>
    </row>
    <row r="27" spans="1:16" ht="28.95" customHeight="1" x14ac:dyDescent="0.2">
      <c r="A27" s="137"/>
      <c r="B27" s="229" t="s">
        <v>772</v>
      </c>
      <c r="C27" s="229"/>
      <c r="D27" s="229"/>
      <c r="E27" s="229"/>
      <c r="F27" s="126"/>
      <c r="G27" s="126"/>
      <c r="H27" s="126" t="s">
        <v>586</v>
      </c>
      <c r="I27" s="126"/>
      <c r="J27" s="126"/>
      <c r="K27" s="126"/>
      <c r="L27" s="126"/>
      <c r="M27" s="126"/>
      <c r="N27" s="126"/>
      <c r="O27" s="126"/>
      <c r="P27" s="126"/>
    </row>
    <row r="28" spans="1:16" ht="28.95" customHeight="1" x14ac:dyDescent="0.2">
      <c r="A28" s="137"/>
      <c r="B28" s="228" t="s">
        <v>773</v>
      </c>
      <c r="C28" s="228"/>
      <c r="D28" s="228"/>
      <c r="E28" s="228"/>
      <c r="F28" s="126"/>
      <c r="G28" s="126"/>
      <c r="H28" s="126"/>
      <c r="I28" s="141" t="s">
        <v>586</v>
      </c>
      <c r="J28" s="126"/>
      <c r="K28" s="126"/>
      <c r="L28" s="141"/>
      <c r="M28" s="126"/>
      <c r="N28" s="126"/>
      <c r="O28" s="126"/>
      <c r="P28" s="126"/>
    </row>
    <row r="29" spans="1:16" ht="28.95" customHeight="1" x14ac:dyDescent="0.2">
      <c r="A29" s="137"/>
      <c r="B29" s="228" t="s">
        <v>774</v>
      </c>
      <c r="C29" s="228"/>
      <c r="D29" s="228"/>
      <c r="E29" s="228"/>
      <c r="F29" s="126"/>
      <c r="G29" s="126"/>
      <c r="H29" s="126"/>
      <c r="I29" s="126"/>
      <c r="J29" s="126" t="s">
        <v>586</v>
      </c>
      <c r="K29" s="126"/>
      <c r="L29" s="126"/>
      <c r="M29" s="126"/>
      <c r="N29" s="126"/>
      <c r="O29" s="126"/>
      <c r="P29" s="126"/>
    </row>
    <row r="30" spans="1:16" ht="28.95" customHeight="1" x14ac:dyDescent="0.2">
      <c r="A30" s="137"/>
      <c r="B30" s="232" t="s">
        <v>775</v>
      </c>
      <c r="C30" s="232"/>
      <c r="D30" s="232"/>
      <c r="E30" s="232"/>
      <c r="F30" s="126"/>
      <c r="G30" s="126"/>
      <c r="H30" s="126"/>
      <c r="I30" s="126"/>
      <c r="J30" s="126"/>
      <c r="K30" s="126" t="s">
        <v>586</v>
      </c>
      <c r="L30" s="126"/>
      <c r="M30" s="126"/>
      <c r="N30" s="126"/>
      <c r="O30" s="126"/>
      <c r="P30" s="126"/>
    </row>
    <row r="31" spans="1:16" ht="28.95" customHeight="1" x14ac:dyDescent="0.2">
      <c r="A31" s="137"/>
      <c r="B31" s="228" t="s">
        <v>776</v>
      </c>
      <c r="C31" s="228"/>
      <c r="D31" s="228"/>
      <c r="E31" s="228"/>
      <c r="F31" s="126"/>
      <c r="G31" s="126"/>
      <c r="H31" s="141"/>
      <c r="I31" s="126"/>
      <c r="J31" s="126"/>
      <c r="K31" s="126"/>
      <c r="L31" s="126" t="s">
        <v>586</v>
      </c>
      <c r="M31" s="126"/>
      <c r="N31" s="126"/>
      <c r="O31" s="126"/>
      <c r="P31" s="126"/>
    </row>
    <row r="32" spans="1:16" ht="28.95" customHeight="1" x14ac:dyDescent="0.2">
      <c r="A32" s="137"/>
      <c r="B32" s="230" t="s">
        <v>777</v>
      </c>
      <c r="C32" s="230"/>
      <c r="D32" s="230"/>
      <c r="E32" s="230"/>
      <c r="F32" s="150"/>
      <c r="G32" s="150"/>
      <c r="H32" s="150"/>
      <c r="I32" s="126"/>
      <c r="J32" s="150"/>
      <c r="K32" s="150"/>
      <c r="L32" s="150"/>
      <c r="M32" s="126" t="s">
        <v>586</v>
      </c>
      <c r="N32" s="126"/>
      <c r="O32" s="150"/>
      <c r="P32" s="150"/>
    </row>
    <row r="33" spans="1:16" ht="42.45" customHeight="1" x14ac:dyDescent="0.2">
      <c r="A33" s="137"/>
      <c r="B33" s="231" t="s">
        <v>778</v>
      </c>
      <c r="C33" s="231"/>
      <c r="D33" s="231"/>
      <c r="E33" s="231"/>
      <c r="F33" s="152"/>
      <c r="G33" s="152"/>
      <c r="H33" s="152"/>
      <c r="I33" s="153"/>
      <c r="J33" s="152"/>
      <c r="K33" s="152"/>
      <c r="L33" s="152"/>
      <c r="M33" s="153"/>
      <c r="N33" s="153" t="s">
        <v>586</v>
      </c>
      <c r="O33" s="152"/>
      <c r="P33" s="152"/>
    </row>
    <row r="34" spans="1:16" ht="28.95" customHeight="1" x14ac:dyDescent="0.2">
      <c r="A34" s="137"/>
      <c r="B34" s="231" t="s">
        <v>779</v>
      </c>
      <c r="C34" s="231"/>
      <c r="D34" s="231"/>
      <c r="E34" s="231"/>
      <c r="F34" s="152"/>
      <c r="G34" s="152"/>
      <c r="H34" s="152"/>
      <c r="I34" s="153"/>
      <c r="J34" s="152"/>
      <c r="K34" s="152"/>
      <c r="L34" s="152"/>
      <c r="M34" s="153"/>
      <c r="N34" s="153"/>
      <c r="O34" s="152" t="s">
        <v>586</v>
      </c>
      <c r="P34" s="152"/>
    </row>
    <row r="35" spans="1:16" ht="28.95" customHeight="1" x14ac:dyDescent="0.2">
      <c r="A35" s="137"/>
      <c r="B35" s="231" t="s">
        <v>780</v>
      </c>
      <c r="C35" s="231"/>
      <c r="D35" s="231"/>
      <c r="E35" s="231"/>
      <c r="F35" s="152"/>
      <c r="G35" s="152"/>
      <c r="H35" s="152"/>
      <c r="I35" s="153"/>
      <c r="J35" s="152"/>
      <c r="K35" s="152"/>
      <c r="L35" s="152"/>
      <c r="M35" s="153"/>
      <c r="N35" s="153"/>
      <c r="O35" s="152"/>
      <c r="P35" s="152" t="s">
        <v>586</v>
      </c>
    </row>
    <row r="36" spans="1:16" ht="13.2" customHeight="1" x14ac:dyDescent="0.2">
      <c r="A36" s="161"/>
      <c r="B36" s="132"/>
      <c r="C36" s="133"/>
      <c r="D36" s="134"/>
      <c r="E36" s="180"/>
      <c r="F36" s="153"/>
      <c r="G36" s="153"/>
      <c r="H36" s="153"/>
      <c r="I36" s="153"/>
      <c r="J36" s="153"/>
      <c r="K36" s="153"/>
      <c r="L36" s="153"/>
      <c r="M36" s="153"/>
      <c r="N36" s="153"/>
      <c r="O36" s="153"/>
      <c r="P36" s="153"/>
    </row>
    <row r="37" spans="1:16" ht="15.45" customHeight="1" x14ac:dyDescent="0.25">
      <c r="A37" s="131" t="s">
        <v>564</v>
      </c>
      <c r="B37" s="234" t="s">
        <v>605</v>
      </c>
      <c r="C37" s="234"/>
      <c r="D37" s="234"/>
      <c r="E37" s="181"/>
      <c r="F37" s="126" t="s">
        <v>554</v>
      </c>
      <c r="G37" s="126" t="s">
        <v>554</v>
      </c>
      <c r="H37" s="126" t="s">
        <v>554</v>
      </c>
      <c r="I37" s="126" t="s">
        <v>554</v>
      </c>
      <c r="J37" s="126" t="s">
        <v>555</v>
      </c>
      <c r="K37" s="126" t="s">
        <v>555</v>
      </c>
      <c r="L37" s="126" t="s">
        <v>555</v>
      </c>
      <c r="M37" s="126" t="s">
        <v>554</v>
      </c>
      <c r="N37" s="126" t="s">
        <v>554</v>
      </c>
      <c r="O37" s="126" t="s">
        <v>555</v>
      </c>
      <c r="P37" s="126" t="s">
        <v>554</v>
      </c>
    </row>
    <row r="38" spans="1:16" ht="15.45" customHeight="1" x14ac:dyDescent="0.2">
      <c r="A38" s="163"/>
      <c r="B38" s="234" t="s">
        <v>606</v>
      </c>
      <c r="C38" s="234"/>
      <c r="D38" s="234"/>
      <c r="E38" s="142"/>
      <c r="F38" s="126" t="s">
        <v>607</v>
      </c>
      <c r="G38" s="126" t="s">
        <v>607</v>
      </c>
      <c r="H38" s="126" t="s">
        <v>607</v>
      </c>
      <c r="I38" s="126" t="s">
        <v>607</v>
      </c>
      <c r="J38" s="126" t="s">
        <v>607</v>
      </c>
      <c r="K38" s="126" t="s">
        <v>607</v>
      </c>
      <c r="L38" s="126" t="s">
        <v>607</v>
      </c>
      <c r="M38" s="126" t="s">
        <v>607</v>
      </c>
      <c r="N38" s="126" t="s">
        <v>607</v>
      </c>
      <c r="O38" s="126" t="s">
        <v>607</v>
      </c>
      <c r="P38" s="126" t="s">
        <v>607</v>
      </c>
    </row>
    <row r="39" spans="1:16" ht="28.95" customHeight="1" x14ac:dyDescent="0.2">
      <c r="A39" s="163"/>
      <c r="B39" s="234" t="s">
        <v>608</v>
      </c>
      <c r="C39" s="234"/>
      <c r="D39" s="234"/>
      <c r="E39" s="142"/>
      <c r="F39" s="126" t="s">
        <v>609</v>
      </c>
      <c r="G39" s="126" t="s">
        <v>609</v>
      </c>
      <c r="H39" s="126" t="s">
        <v>609</v>
      </c>
      <c r="I39" s="126" t="s">
        <v>609</v>
      </c>
      <c r="J39" s="126" t="s">
        <v>609</v>
      </c>
      <c r="K39" s="126" t="s">
        <v>609</v>
      </c>
      <c r="L39" s="126" t="s">
        <v>609</v>
      </c>
      <c r="M39" s="126" t="s">
        <v>609</v>
      </c>
      <c r="N39" s="126" t="s">
        <v>609</v>
      </c>
      <c r="O39" s="126" t="s">
        <v>609</v>
      </c>
      <c r="P39" s="126" t="s">
        <v>609</v>
      </c>
    </row>
    <row r="40" spans="1:16" ht="15.45" customHeight="1" x14ac:dyDescent="0.2">
      <c r="A40" s="163"/>
      <c r="B40" s="234" t="s">
        <v>610</v>
      </c>
      <c r="C40" s="234"/>
      <c r="D40" s="234"/>
      <c r="E40" s="142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</row>
  </sheetData>
  <autoFilter ref="F9:P40" xr:uid="{00000000-0009-0000-0000-000007000000}"/>
  <mergeCells count="49">
    <mergeCell ref="B40:D40"/>
    <mergeCell ref="B34:E34"/>
    <mergeCell ref="B35:E35"/>
    <mergeCell ref="B37:D37"/>
    <mergeCell ref="B38:D38"/>
    <mergeCell ref="B39:D39"/>
    <mergeCell ref="B29:E29"/>
    <mergeCell ref="B30:E30"/>
    <mergeCell ref="B31:E31"/>
    <mergeCell ref="B32:E32"/>
    <mergeCell ref="B33:E33"/>
    <mergeCell ref="B22:E22"/>
    <mergeCell ref="B25:E25"/>
    <mergeCell ref="B26:E26"/>
    <mergeCell ref="B27:E27"/>
    <mergeCell ref="B28:E28"/>
    <mergeCell ref="B17:E17"/>
    <mergeCell ref="B18:E18"/>
    <mergeCell ref="B19:E19"/>
    <mergeCell ref="B20:E20"/>
    <mergeCell ref="B21:E21"/>
    <mergeCell ref="B12:E12"/>
    <mergeCell ref="B13:E13"/>
    <mergeCell ref="B14:E14"/>
    <mergeCell ref="B15:E15"/>
    <mergeCell ref="B16:E16"/>
    <mergeCell ref="A7:B7"/>
    <mergeCell ref="C7:E7"/>
    <mergeCell ref="F7:K7"/>
    <mergeCell ref="O7:P7"/>
    <mergeCell ref="B11:E11"/>
    <mergeCell ref="A6:B6"/>
    <mergeCell ref="C6:E6"/>
    <mergeCell ref="F6:K6"/>
    <mergeCell ref="L6:N6"/>
    <mergeCell ref="O6:P6"/>
    <mergeCell ref="A4:E4"/>
    <mergeCell ref="F4:K4"/>
    <mergeCell ref="L4:P4"/>
    <mergeCell ref="A5:B5"/>
    <mergeCell ref="C5:P5"/>
    <mergeCell ref="A2:B2"/>
    <mergeCell ref="C2:E2"/>
    <mergeCell ref="F2:K2"/>
    <mergeCell ref="L2:P2"/>
    <mergeCell ref="A3:B3"/>
    <mergeCell ref="C3:E3"/>
    <mergeCell ref="F3:K3"/>
    <mergeCell ref="L3:P3"/>
  </mergeCells>
  <pageMargins left="0.25" right="0.25" top="1" bottom="1" header="0.5" footer="0.5"/>
  <pageSetup fitToHeight="0" orientation="portrait" useFirstPageNumber="1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R44"/>
  <sheetViews>
    <sheetView zoomScale="85" zoomScaleNormal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3.5" customHeight="1" x14ac:dyDescent="0.2"/>
  <cols>
    <col min="1" max="1" width="11" customWidth="1"/>
    <col min="2" max="2" width="15" customWidth="1"/>
    <col min="3" max="3" width="20" customWidth="1"/>
    <col min="4" max="5" width="13" customWidth="1"/>
    <col min="6" max="6" width="10" customWidth="1"/>
    <col min="7" max="18" width="13" customWidth="1"/>
    <col min="19" max="90" width="8.33203125" customWidth="1"/>
  </cols>
  <sheetData>
    <row r="1" spans="1:18" ht="13.5" customHeight="1" x14ac:dyDescent="0.2">
      <c r="A1" s="121"/>
      <c r="B1" s="122"/>
      <c r="C1" s="123"/>
      <c r="D1" s="123"/>
      <c r="E1" s="123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</row>
    <row r="2" spans="1:18" ht="27.9" customHeight="1" x14ac:dyDescent="0.2">
      <c r="A2" s="221" t="s">
        <v>568</v>
      </c>
      <c r="B2" s="221"/>
      <c r="C2" s="222" t="s">
        <v>106</v>
      </c>
      <c r="D2" s="222"/>
      <c r="E2" s="222"/>
      <c r="F2" s="223" t="s">
        <v>78</v>
      </c>
      <c r="G2" s="223"/>
      <c r="H2" s="223"/>
      <c r="I2" s="223"/>
      <c r="J2" s="223"/>
      <c r="K2" s="223"/>
      <c r="L2" s="224" t="str">
        <f>FunctionList!D15</f>
        <v>See the per-case source map in the evidence document</v>
      </c>
      <c r="M2" s="224"/>
      <c r="N2" s="224"/>
      <c r="O2" s="224"/>
      <c r="P2" s="224"/>
      <c r="Q2" s="224"/>
      <c r="R2" s="224"/>
    </row>
    <row r="3" spans="1:18" ht="27.9" customHeight="1" x14ac:dyDescent="0.2">
      <c r="A3" s="221" t="s">
        <v>569</v>
      </c>
      <c r="B3" s="221"/>
      <c r="C3" s="222" t="s">
        <v>49</v>
      </c>
      <c r="D3" s="222"/>
      <c r="E3" s="222"/>
      <c r="F3" s="223" t="s">
        <v>570</v>
      </c>
      <c r="G3" s="223"/>
      <c r="H3" s="223"/>
      <c r="I3" s="223"/>
      <c r="J3" s="223"/>
      <c r="K3" s="223"/>
      <c r="L3" s="225"/>
      <c r="M3" s="225"/>
      <c r="N3" s="225"/>
      <c r="O3" s="225"/>
      <c r="P3" s="225"/>
      <c r="Q3" s="225"/>
      <c r="R3" s="225"/>
    </row>
    <row r="4" spans="1:18" ht="27.9" customHeight="1" x14ac:dyDescent="0.2">
      <c r="A4" s="221" t="s">
        <v>571</v>
      </c>
      <c r="B4" s="221"/>
      <c r="C4" s="221"/>
      <c r="D4" s="221"/>
      <c r="E4" s="221"/>
      <c r="F4" s="223" t="s">
        <v>572</v>
      </c>
      <c r="G4" s="223"/>
      <c r="H4" s="223"/>
      <c r="I4" s="223"/>
      <c r="J4" s="223"/>
      <c r="K4" s="223"/>
      <c r="L4" s="226">
        <f>IF(ISNUMBER(FunctionList!E6),MAX(0,ROUNDUP(C4*FunctionList!E6/1000,0)-O7),"N/A")</f>
        <v>0</v>
      </c>
      <c r="M4" s="226"/>
      <c r="N4" s="226"/>
      <c r="O4" s="226"/>
      <c r="P4" s="226"/>
      <c r="Q4" s="226"/>
      <c r="R4" s="226"/>
    </row>
    <row r="5" spans="1:18" ht="63.9" customHeight="1" x14ac:dyDescent="0.2">
      <c r="A5" s="221" t="s">
        <v>573</v>
      </c>
      <c r="B5" s="221"/>
      <c r="C5" s="227" t="s">
        <v>781</v>
      </c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</row>
    <row r="6" spans="1:18" ht="27.9" customHeight="1" x14ac:dyDescent="0.2">
      <c r="A6" s="223" t="s">
        <v>551</v>
      </c>
      <c r="B6" s="223"/>
      <c r="C6" s="223" t="s">
        <v>552</v>
      </c>
      <c r="D6" s="223"/>
      <c r="E6" s="223"/>
      <c r="F6" s="223" t="s">
        <v>553</v>
      </c>
      <c r="G6" s="223"/>
      <c r="H6" s="223"/>
      <c r="I6" s="223"/>
      <c r="J6" s="223"/>
      <c r="K6" s="223"/>
      <c r="L6" s="223" t="s">
        <v>575</v>
      </c>
      <c r="M6" s="223"/>
      <c r="N6" s="223"/>
      <c r="O6" s="223" t="s">
        <v>557</v>
      </c>
      <c r="P6" s="223"/>
      <c r="Q6" s="223"/>
      <c r="R6" s="223"/>
    </row>
    <row r="7" spans="1:18" ht="27.9" customHeight="1" x14ac:dyDescent="0.2">
      <c r="A7" s="226">
        <f>COUNTIF(F42:R42,"P")</f>
        <v>13</v>
      </c>
      <c r="B7" s="226"/>
      <c r="C7" s="226">
        <f>COUNTIF(F42:R42,"F")</f>
        <v>0</v>
      </c>
      <c r="D7" s="226"/>
      <c r="E7" s="226"/>
      <c r="F7" s="226">
        <f>O7-A7-C7</f>
        <v>0</v>
      </c>
      <c r="G7" s="226"/>
      <c r="H7" s="226"/>
      <c r="I7" s="226"/>
      <c r="J7" s="226"/>
      <c r="K7" s="226"/>
      <c r="L7" s="126">
        <f>COUNTIF(F41:R41,"N")</f>
        <v>10</v>
      </c>
      <c r="M7" s="126">
        <f>COUNTIF(F41:R41,"A")</f>
        <v>3</v>
      </c>
      <c r="N7" s="126">
        <f>COUNTIF(F41:R41,"B")</f>
        <v>0</v>
      </c>
      <c r="O7" s="226">
        <f>COUNTA(F9:R9)</f>
        <v>13</v>
      </c>
      <c r="P7" s="226"/>
      <c r="Q7" s="226"/>
      <c r="R7" s="226"/>
    </row>
    <row r="8" spans="1:18" ht="13.5" customHeight="1" x14ac:dyDescent="0.2">
      <c r="A8" s="123"/>
      <c r="B8" s="127"/>
      <c r="C8" s="123"/>
      <c r="D8" s="123"/>
      <c r="E8" s="123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4"/>
      <c r="R8" s="124"/>
    </row>
    <row r="9" spans="1:18" ht="42" customHeight="1" x14ac:dyDescent="0.2">
      <c r="A9" s="128"/>
      <c r="B9" s="129"/>
      <c r="C9" s="129"/>
      <c r="D9" s="129"/>
      <c r="E9" s="129"/>
      <c r="F9" s="130" t="s">
        <v>576</v>
      </c>
      <c r="G9" s="130" t="s">
        <v>577</v>
      </c>
      <c r="H9" s="130" t="s">
        <v>578</v>
      </c>
      <c r="I9" s="130" t="s">
        <v>579</v>
      </c>
      <c r="J9" s="130" t="s">
        <v>580</v>
      </c>
      <c r="K9" s="130" t="s">
        <v>581</v>
      </c>
      <c r="L9" s="130" t="s">
        <v>582</v>
      </c>
      <c r="M9" s="130" t="s">
        <v>583</v>
      </c>
      <c r="N9" s="130" t="s">
        <v>612</v>
      </c>
      <c r="O9" s="130" t="s">
        <v>613</v>
      </c>
      <c r="P9" s="130" t="s">
        <v>614</v>
      </c>
      <c r="Q9" s="130" t="s">
        <v>615</v>
      </c>
      <c r="R9" s="130" t="s">
        <v>616</v>
      </c>
    </row>
    <row r="10" spans="1:18" ht="15.45" customHeight="1" x14ac:dyDescent="0.2">
      <c r="A10" s="131" t="s">
        <v>584</v>
      </c>
      <c r="B10" s="132" t="s">
        <v>585</v>
      </c>
      <c r="C10" s="133"/>
      <c r="D10" s="134"/>
      <c r="E10" s="135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  <c r="R10" s="136"/>
    </row>
    <row r="11" spans="1:18" ht="28.95" customHeight="1" x14ac:dyDescent="0.2">
      <c r="A11" s="137"/>
      <c r="B11" s="228" t="s">
        <v>108</v>
      </c>
      <c r="C11" s="228"/>
      <c r="D11" s="228"/>
      <c r="E11" s="228"/>
      <c r="F11" s="126" t="s">
        <v>586</v>
      </c>
      <c r="G11" s="126" t="s">
        <v>586</v>
      </c>
      <c r="H11" s="126" t="s">
        <v>586</v>
      </c>
      <c r="I11" s="126" t="s">
        <v>586</v>
      </c>
      <c r="J11" s="126" t="s">
        <v>586</v>
      </c>
      <c r="K11" s="126" t="s">
        <v>586</v>
      </c>
      <c r="L11" s="126" t="s">
        <v>586</v>
      </c>
      <c r="M11" s="126" t="s">
        <v>586</v>
      </c>
      <c r="N11" s="126" t="s">
        <v>586</v>
      </c>
      <c r="O11" s="126" t="s">
        <v>586</v>
      </c>
      <c r="P11" s="126" t="s">
        <v>586</v>
      </c>
      <c r="Q11" s="126" t="s">
        <v>586</v>
      </c>
      <c r="R11" s="126" t="s">
        <v>586</v>
      </c>
    </row>
    <row r="12" spans="1:18" ht="28.95" customHeight="1" x14ac:dyDescent="0.2">
      <c r="A12" s="137"/>
      <c r="B12" s="228" t="s">
        <v>782</v>
      </c>
      <c r="C12" s="228"/>
      <c r="D12" s="228"/>
      <c r="E12" s="228"/>
      <c r="F12" s="126" t="s">
        <v>586</v>
      </c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  <c r="R12" s="126"/>
    </row>
    <row r="13" spans="1:18" ht="28.95" customHeight="1" x14ac:dyDescent="0.2">
      <c r="A13" s="137"/>
      <c r="B13" s="228" t="s">
        <v>783</v>
      </c>
      <c r="C13" s="228"/>
      <c r="D13" s="228"/>
      <c r="E13" s="228"/>
      <c r="F13" s="126"/>
      <c r="G13" s="126" t="s">
        <v>586</v>
      </c>
      <c r="H13" s="126"/>
      <c r="I13" s="126"/>
      <c r="J13" s="126"/>
      <c r="K13" s="126"/>
      <c r="L13" s="126"/>
      <c r="M13" s="126"/>
      <c r="N13" s="126"/>
      <c r="O13" s="126"/>
      <c r="P13" s="126"/>
      <c r="Q13" s="126"/>
      <c r="R13" s="126"/>
    </row>
    <row r="14" spans="1:18" ht="28.95" customHeight="1" x14ac:dyDescent="0.2">
      <c r="A14" s="137"/>
      <c r="B14" s="228" t="s">
        <v>784</v>
      </c>
      <c r="C14" s="228"/>
      <c r="D14" s="228"/>
      <c r="E14" s="228"/>
      <c r="F14" s="126"/>
      <c r="G14" s="126"/>
      <c r="H14" s="139" t="s">
        <v>586</v>
      </c>
      <c r="I14" s="126"/>
      <c r="J14" s="126"/>
      <c r="K14" s="126"/>
      <c r="L14" s="126"/>
      <c r="M14" s="126"/>
      <c r="N14" s="126"/>
      <c r="O14" s="126"/>
      <c r="P14" s="126"/>
      <c r="Q14" s="126"/>
      <c r="R14" s="126"/>
    </row>
    <row r="15" spans="1:18" ht="28.95" customHeight="1" x14ac:dyDescent="0.2">
      <c r="A15" s="137"/>
      <c r="B15" s="228" t="s">
        <v>785</v>
      </c>
      <c r="C15" s="228"/>
      <c r="D15" s="228"/>
      <c r="E15" s="228"/>
      <c r="F15" s="126"/>
      <c r="G15" s="126"/>
      <c r="H15" s="126"/>
      <c r="I15" s="140" t="s">
        <v>586</v>
      </c>
      <c r="J15" s="126"/>
      <c r="K15" s="126"/>
      <c r="L15" s="126"/>
      <c r="M15" s="126"/>
      <c r="N15" s="126"/>
      <c r="O15" s="126"/>
      <c r="P15" s="126"/>
      <c r="Q15" s="126"/>
      <c r="R15" s="126"/>
    </row>
    <row r="16" spans="1:18" ht="28.95" customHeight="1" x14ac:dyDescent="0.2">
      <c r="A16" s="137"/>
      <c r="B16" s="228" t="s">
        <v>786</v>
      </c>
      <c r="C16" s="228"/>
      <c r="D16" s="228"/>
      <c r="E16" s="228"/>
      <c r="F16" s="126"/>
      <c r="G16" s="126"/>
      <c r="H16" s="141"/>
      <c r="I16" s="126"/>
      <c r="J16" s="126" t="s">
        <v>586</v>
      </c>
      <c r="K16" s="126"/>
      <c r="L16" s="126"/>
      <c r="M16" s="126"/>
      <c r="N16" s="126"/>
      <c r="O16" s="126"/>
      <c r="P16" s="126"/>
      <c r="Q16" s="126"/>
      <c r="R16" s="126"/>
    </row>
    <row r="17" spans="1:18" ht="15.45" customHeight="1" x14ac:dyDescent="0.2">
      <c r="A17" s="137"/>
      <c r="B17" s="228" t="s">
        <v>787</v>
      </c>
      <c r="C17" s="228"/>
      <c r="D17" s="228"/>
      <c r="E17" s="228"/>
      <c r="F17" s="126"/>
      <c r="G17" s="126"/>
      <c r="H17" s="126"/>
      <c r="I17" s="126"/>
      <c r="J17" s="126"/>
      <c r="K17" s="126" t="s">
        <v>586</v>
      </c>
      <c r="L17" s="126"/>
      <c r="M17" s="126"/>
      <c r="N17" s="126"/>
      <c r="O17" s="126"/>
      <c r="P17" s="126"/>
      <c r="Q17" s="126"/>
      <c r="R17" s="126"/>
    </row>
    <row r="18" spans="1:18" ht="28.95" customHeight="1" x14ac:dyDescent="0.2">
      <c r="A18" s="137"/>
      <c r="B18" s="228" t="s">
        <v>788</v>
      </c>
      <c r="C18" s="228"/>
      <c r="D18" s="228"/>
      <c r="E18" s="228"/>
      <c r="F18" s="126"/>
      <c r="G18" s="126"/>
      <c r="H18" s="126"/>
      <c r="I18" s="126"/>
      <c r="J18" s="126"/>
      <c r="K18" s="126"/>
      <c r="L18" s="126" t="s">
        <v>586</v>
      </c>
      <c r="M18" s="126"/>
      <c r="N18" s="126"/>
      <c r="O18" s="126"/>
      <c r="P18" s="126"/>
      <c r="Q18" s="126"/>
      <c r="R18" s="126"/>
    </row>
    <row r="19" spans="1:18" ht="15.45" customHeight="1" x14ac:dyDescent="0.2">
      <c r="A19" s="137"/>
      <c r="B19" s="228" t="s">
        <v>789</v>
      </c>
      <c r="C19" s="228"/>
      <c r="D19" s="228"/>
      <c r="E19" s="228"/>
      <c r="F19" s="126"/>
      <c r="G19" s="126"/>
      <c r="H19" s="126"/>
      <c r="I19" s="126"/>
      <c r="J19" s="126"/>
      <c r="K19" s="126"/>
      <c r="L19" s="126"/>
      <c r="M19" s="126" t="s">
        <v>586</v>
      </c>
      <c r="N19" s="126"/>
      <c r="O19" s="126"/>
      <c r="P19" s="126"/>
      <c r="Q19" s="126"/>
      <c r="R19" s="126"/>
    </row>
    <row r="20" spans="1:18" ht="28.95" customHeight="1" x14ac:dyDescent="0.2">
      <c r="A20" s="137"/>
      <c r="B20" s="228" t="s">
        <v>790</v>
      </c>
      <c r="C20" s="228"/>
      <c r="D20" s="228"/>
      <c r="E20" s="228"/>
      <c r="F20" s="126"/>
      <c r="G20" s="126"/>
      <c r="H20" s="126"/>
      <c r="I20" s="126"/>
      <c r="J20" s="126"/>
      <c r="K20" s="126"/>
      <c r="L20" s="126"/>
      <c r="M20" s="126"/>
      <c r="N20" s="126" t="s">
        <v>586</v>
      </c>
      <c r="O20" s="126"/>
      <c r="P20" s="126"/>
      <c r="Q20" s="126"/>
      <c r="R20" s="126"/>
    </row>
    <row r="21" spans="1:18" ht="28.95" customHeight="1" x14ac:dyDescent="0.2">
      <c r="A21" s="137"/>
      <c r="B21" s="228" t="s">
        <v>791</v>
      </c>
      <c r="C21" s="228"/>
      <c r="D21" s="228"/>
      <c r="E21" s="228"/>
      <c r="F21" s="126"/>
      <c r="G21" s="126"/>
      <c r="H21" s="126"/>
      <c r="I21" s="126"/>
      <c r="J21" s="126"/>
      <c r="K21" s="126"/>
      <c r="L21" s="126"/>
      <c r="M21" s="126"/>
      <c r="N21" s="126"/>
      <c r="O21" s="126" t="s">
        <v>586</v>
      </c>
      <c r="P21" s="126"/>
      <c r="Q21" s="126"/>
      <c r="R21" s="126"/>
    </row>
    <row r="22" spans="1:18" ht="28.95" customHeight="1" x14ac:dyDescent="0.2">
      <c r="A22" s="137"/>
      <c r="B22" s="228" t="s">
        <v>792</v>
      </c>
      <c r="C22" s="228"/>
      <c r="D22" s="228"/>
      <c r="E22" s="228"/>
      <c r="F22" s="126"/>
      <c r="G22" s="126"/>
      <c r="H22" s="126"/>
      <c r="I22" s="126"/>
      <c r="J22" s="126"/>
      <c r="K22" s="141"/>
      <c r="L22" s="126"/>
      <c r="M22" s="126"/>
      <c r="N22" s="126"/>
      <c r="O22" s="126"/>
      <c r="P22" s="126" t="s">
        <v>586</v>
      </c>
      <c r="Q22" s="126"/>
      <c r="R22" s="126"/>
    </row>
    <row r="23" spans="1:18" ht="28.95" customHeight="1" x14ac:dyDescent="0.2">
      <c r="A23" s="137"/>
      <c r="B23" s="228" t="s">
        <v>793</v>
      </c>
      <c r="C23" s="228"/>
      <c r="D23" s="228"/>
      <c r="E23" s="228"/>
      <c r="F23" s="126"/>
      <c r="G23" s="126"/>
      <c r="H23" s="126"/>
      <c r="I23" s="126"/>
      <c r="J23" s="126"/>
      <c r="K23" s="126"/>
      <c r="L23" s="126"/>
      <c r="M23" s="126"/>
      <c r="N23" s="126"/>
      <c r="O23" s="126"/>
      <c r="P23" s="126"/>
      <c r="Q23" s="126" t="s">
        <v>586</v>
      </c>
      <c r="R23" s="126"/>
    </row>
    <row r="24" spans="1:18" ht="28.95" customHeight="1" x14ac:dyDescent="0.2">
      <c r="A24" s="137"/>
      <c r="B24" s="228" t="s">
        <v>794</v>
      </c>
      <c r="C24" s="228"/>
      <c r="D24" s="228"/>
      <c r="E24" s="228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 t="s">
        <v>586</v>
      </c>
    </row>
    <row r="25" spans="1:18" ht="13.2" customHeight="1" x14ac:dyDescent="0.2">
      <c r="A25" s="137"/>
      <c r="B25" s="138"/>
      <c r="C25" s="143"/>
      <c r="D25" s="148"/>
      <c r="E25" s="135"/>
      <c r="F25" s="141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</row>
    <row r="26" spans="1:18" ht="28.95" customHeight="1" x14ac:dyDescent="0.2">
      <c r="A26" s="131" t="s">
        <v>595</v>
      </c>
      <c r="B26" s="138" t="s">
        <v>596</v>
      </c>
      <c r="C26" s="143"/>
      <c r="D26" s="148"/>
      <c r="E26" s="135"/>
      <c r="F26" s="145"/>
      <c r="G26" s="145"/>
      <c r="H26" s="145"/>
      <c r="I26" s="145"/>
      <c r="J26" s="145"/>
      <c r="K26" s="145"/>
      <c r="L26" s="182"/>
      <c r="M26" s="145"/>
      <c r="N26" s="145"/>
      <c r="O26" s="145"/>
      <c r="P26" s="145"/>
      <c r="Q26" s="145"/>
      <c r="R26" s="145"/>
    </row>
    <row r="27" spans="1:18" ht="28.95" customHeight="1" x14ac:dyDescent="0.2">
      <c r="A27" s="137"/>
      <c r="B27" s="229" t="s">
        <v>795</v>
      </c>
      <c r="C27" s="229"/>
      <c r="D27" s="229"/>
      <c r="E27" s="229"/>
      <c r="F27" s="126" t="s">
        <v>586</v>
      </c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</row>
    <row r="28" spans="1:18" ht="28.95" customHeight="1" x14ac:dyDescent="0.2">
      <c r="A28" s="137"/>
      <c r="B28" s="228" t="s">
        <v>796</v>
      </c>
      <c r="C28" s="228"/>
      <c r="D28" s="228"/>
      <c r="E28" s="228"/>
      <c r="F28" s="126"/>
      <c r="G28" s="126" t="s">
        <v>586</v>
      </c>
      <c r="H28" s="126"/>
      <c r="I28" s="141"/>
      <c r="J28" s="126"/>
      <c r="K28" s="126"/>
      <c r="L28" s="141"/>
      <c r="M28" s="126"/>
      <c r="N28" s="126"/>
      <c r="O28" s="126"/>
      <c r="P28" s="126"/>
      <c r="Q28" s="126"/>
      <c r="R28" s="126"/>
    </row>
    <row r="29" spans="1:18" ht="42.45" customHeight="1" x14ac:dyDescent="0.2">
      <c r="A29" s="137"/>
      <c r="B29" s="228" t="s">
        <v>797</v>
      </c>
      <c r="C29" s="228"/>
      <c r="D29" s="228"/>
      <c r="E29" s="228"/>
      <c r="F29" s="126"/>
      <c r="G29" s="126"/>
      <c r="H29" s="126" t="s">
        <v>586</v>
      </c>
      <c r="I29" s="126"/>
      <c r="J29" s="126"/>
      <c r="K29" s="126"/>
      <c r="L29" s="126"/>
      <c r="M29" s="126"/>
      <c r="N29" s="126"/>
      <c r="O29" s="126"/>
      <c r="P29" s="126"/>
      <c r="Q29" s="126"/>
      <c r="R29" s="126"/>
    </row>
    <row r="30" spans="1:18" ht="28.95" customHeight="1" x14ac:dyDescent="0.2">
      <c r="A30" s="137"/>
      <c r="B30" s="232" t="s">
        <v>798</v>
      </c>
      <c r="C30" s="232"/>
      <c r="D30" s="232"/>
      <c r="E30" s="232"/>
      <c r="F30" s="126"/>
      <c r="G30" s="126"/>
      <c r="H30" s="126"/>
      <c r="I30" s="126" t="s">
        <v>586</v>
      </c>
      <c r="J30" s="126"/>
      <c r="K30" s="126"/>
      <c r="L30" s="126"/>
      <c r="M30" s="126"/>
      <c r="N30" s="126"/>
      <c r="O30" s="126"/>
      <c r="P30" s="126"/>
      <c r="Q30" s="126"/>
      <c r="R30" s="126"/>
    </row>
    <row r="31" spans="1:18" ht="28.95" customHeight="1" x14ac:dyDescent="0.2">
      <c r="A31" s="137"/>
      <c r="B31" s="228" t="s">
        <v>799</v>
      </c>
      <c r="C31" s="228"/>
      <c r="D31" s="228"/>
      <c r="E31" s="228"/>
      <c r="F31" s="126"/>
      <c r="G31" s="126"/>
      <c r="H31" s="141"/>
      <c r="I31" s="126"/>
      <c r="J31" s="126" t="s">
        <v>586</v>
      </c>
      <c r="K31" s="126"/>
      <c r="L31" s="126"/>
      <c r="M31" s="126"/>
      <c r="N31" s="126"/>
      <c r="O31" s="126"/>
      <c r="P31" s="126"/>
      <c r="Q31" s="126"/>
      <c r="R31" s="126"/>
    </row>
    <row r="32" spans="1:18" ht="28.95" customHeight="1" x14ac:dyDescent="0.2">
      <c r="A32" s="137"/>
      <c r="B32" s="230" t="s">
        <v>800</v>
      </c>
      <c r="C32" s="230"/>
      <c r="D32" s="230"/>
      <c r="E32" s="230"/>
      <c r="F32" s="150"/>
      <c r="G32" s="150"/>
      <c r="H32" s="150"/>
      <c r="I32" s="126"/>
      <c r="J32" s="150"/>
      <c r="K32" s="150" t="s">
        <v>586</v>
      </c>
      <c r="L32" s="150"/>
      <c r="M32" s="126"/>
      <c r="N32" s="126"/>
      <c r="O32" s="150"/>
      <c r="P32" s="150"/>
      <c r="Q32" s="150"/>
      <c r="R32" s="150"/>
    </row>
    <row r="33" spans="1:18" ht="28.95" customHeight="1" x14ac:dyDescent="0.2">
      <c r="A33" s="137"/>
      <c r="B33" s="231" t="s">
        <v>801</v>
      </c>
      <c r="C33" s="231"/>
      <c r="D33" s="231"/>
      <c r="E33" s="231"/>
      <c r="F33" s="152"/>
      <c r="G33" s="152"/>
      <c r="H33" s="152"/>
      <c r="I33" s="153"/>
      <c r="J33" s="152"/>
      <c r="K33" s="152"/>
      <c r="L33" s="152" t="s">
        <v>586</v>
      </c>
      <c r="M33" s="153"/>
      <c r="N33" s="153"/>
      <c r="O33" s="152"/>
      <c r="P33" s="152"/>
      <c r="Q33" s="152"/>
      <c r="R33" s="152"/>
    </row>
    <row r="34" spans="1:18" ht="28.95" customHeight="1" x14ac:dyDescent="0.2">
      <c r="A34" s="137"/>
      <c r="B34" s="231" t="s">
        <v>802</v>
      </c>
      <c r="C34" s="231"/>
      <c r="D34" s="231"/>
      <c r="E34" s="231"/>
      <c r="F34" s="152"/>
      <c r="G34" s="152"/>
      <c r="H34" s="152"/>
      <c r="I34" s="153"/>
      <c r="J34" s="152"/>
      <c r="K34" s="152"/>
      <c r="L34" s="152"/>
      <c r="M34" s="153" t="s">
        <v>586</v>
      </c>
      <c r="N34" s="153"/>
      <c r="O34" s="152"/>
      <c r="P34" s="152"/>
      <c r="Q34" s="152"/>
      <c r="R34" s="152"/>
    </row>
    <row r="35" spans="1:18" ht="28.95" customHeight="1" x14ac:dyDescent="0.2">
      <c r="A35" s="137"/>
      <c r="B35" s="231" t="s">
        <v>803</v>
      </c>
      <c r="C35" s="231"/>
      <c r="D35" s="231"/>
      <c r="E35" s="231"/>
      <c r="F35" s="152"/>
      <c r="G35" s="152"/>
      <c r="H35" s="152"/>
      <c r="I35" s="153"/>
      <c r="J35" s="152"/>
      <c r="K35" s="152"/>
      <c r="L35" s="152"/>
      <c r="M35" s="153"/>
      <c r="N35" s="153" t="s">
        <v>586</v>
      </c>
      <c r="O35" s="152"/>
      <c r="P35" s="152"/>
      <c r="Q35" s="152"/>
      <c r="R35" s="152"/>
    </row>
    <row r="36" spans="1:18" ht="28.95" customHeight="1" x14ac:dyDescent="0.2">
      <c r="A36" s="161"/>
      <c r="B36" s="233" t="s">
        <v>804</v>
      </c>
      <c r="C36" s="233"/>
      <c r="D36" s="233"/>
      <c r="E36" s="233"/>
      <c r="F36" s="153"/>
      <c r="G36" s="153"/>
      <c r="H36" s="153"/>
      <c r="I36" s="153"/>
      <c r="J36" s="153"/>
      <c r="K36" s="153"/>
      <c r="L36" s="153"/>
      <c r="M36" s="153"/>
      <c r="N36" s="153"/>
      <c r="O36" s="153" t="s">
        <v>586</v>
      </c>
      <c r="P36" s="153"/>
      <c r="Q36" s="153"/>
      <c r="R36" s="153"/>
    </row>
    <row r="37" spans="1:18" ht="28.95" customHeight="1" x14ac:dyDescent="0.2">
      <c r="A37" s="163"/>
      <c r="B37" s="234" t="s">
        <v>805</v>
      </c>
      <c r="C37" s="234"/>
      <c r="D37" s="234"/>
      <c r="E37" s="234"/>
      <c r="F37" s="126"/>
      <c r="G37" s="126"/>
      <c r="H37" s="126"/>
      <c r="I37" s="126"/>
      <c r="J37" s="126"/>
      <c r="K37" s="126"/>
      <c r="L37" s="126"/>
      <c r="M37" s="126"/>
      <c r="N37" s="126"/>
      <c r="O37" s="126"/>
      <c r="P37" s="126" t="s">
        <v>586</v>
      </c>
      <c r="Q37" s="126"/>
      <c r="R37" s="126"/>
    </row>
    <row r="38" spans="1:18" ht="28.95" customHeight="1" x14ac:dyDescent="0.2">
      <c r="A38" s="163"/>
      <c r="B38" s="234" t="s">
        <v>806</v>
      </c>
      <c r="C38" s="234"/>
      <c r="D38" s="234"/>
      <c r="E38" s="234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 t="s">
        <v>586</v>
      </c>
      <c r="R38" s="126"/>
    </row>
    <row r="39" spans="1:18" ht="28.95" customHeight="1" x14ac:dyDescent="0.2">
      <c r="A39" s="163"/>
      <c r="B39" s="234" t="s">
        <v>807</v>
      </c>
      <c r="C39" s="234"/>
      <c r="D39" s="234"/>
      <c r="E39" s="234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 t="s">
        <v>586</v>
      </c>
    </row>
    <row r="40" spans="1:18" ht="14.25" customHeight="1" x14ac:dyDescent="0.2">
      <c r="A40" s="163"/>
      <c r="B40" s="164"/>
      <c r="C40" s="142"/>
      <c r="D40" s="142"/>
      <c r="E40" s="142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</row>
    <row r="41" spans="1:18" ht="15.45" customHeight="1" x14ac:dyDescent="0.25">
      <c r="A41" s="131" t="s">
        <v>564</v>
      </c>
      <c r="B41" s="234" t="s">
        <v>605</v>
      </c>
      <c r="C41" s="234"/>
      <c r="D41" s="234"/>
      <c r="E41" s="181"/>
      <c r="F41" s="126" t="s">
        <v>554</v>
      </c>
      <c r="G41" s="126" t="s">
        <v>555</v>
      </c>
      <c r="H41" s="126" t="s">
        <v>554</v>
      </c>
      <c r="I41" s="126" t="s">
        <v>554</v>
      </c>
      <c r="J41" s="126" t="s">
        <v>554</v>
      </c>
      <c r="K41" s="126" t="s">
        <v>555</v>
      </c>
      <c r="L41" s="126" t="s">
        <v>555</v>
      </c>
      <c r="M41" s="126" t="s">
        <v>554</v>
      </c>
      <c r="N41" s="126" t="s">
        <v>554</v>
      </c>
      <c r="O41" s="126" t="s">
        <v>554</v>
      </c>
      <c r="P41" s="126" t="s">
        <v>554</v>
      </c>
      <c r="Q41" s="126" t="s">
        <v>554</v>
      </c>
      <c r="R41" s="126" t="s">
        <v>554</v>
      </c>
    </row>
    <row r="42" spans="1:18" ht="15.45" customHeight="1" x14ac:dyDescent="0.2">
      <c r="A42" s="163"/>
      <c r="B42" s="234" t="s">
        <v>606</v>
      </c>
      <c r="C42" s="234"/>
      <c r="D42" s="234"/>
      <c r="E42" s="142"/>
      <c r="F42" s="126" t="s">
        <v>607</v>
      </c>
      <c r="G42" s="126" t="s">
        <v>607</v>
      </c>
      <c r="H42" s="126" t="s">
        <v>607</v>
      </c>
      <c r="I42" s="126" t="s">
        <v>607</v>
      </c>
      <c r="J42" s="126" t="s">
        <v>607</v>
      </c>
      <c r="K42" s="126" t="s">
        <v>607</v>
      </c>
      <c r="L42" s="126" t="s">
        <v>607</v>
      </c>
      <c r="M42" s="126" t="s">
        <v>607</v>
      </c>
      <c r="N42" s="126" t="s">
        <v>607</v>
      </c>
      <c r="O42" s="126" t="s">
        <v>607</v>
      </c>
      <c r="P42" s="126" t="s">
        <v>607</v>
      </c>
      <c r="Q42" s="126" t="s">
        <v>607</v>
      </c>
      <c r="R42" s="126" t="s">
        <v>607</v>
      </c>
    </row>
    <row r="43" spans="1:18" ht="28.95" customHeight="1" x14ac:dyDescent="0.2">
      <c r="A43" s="163"/>
      <c r="B43" s="234" t="s">
        <v>608</v>
      </c>
      <c r="C43" s="234"/>
      <c r="D43" s="234"/>
      <c r="E43" s="142"/>
      <c r="F43" s="126" t="s">
        <v>609</v>
      </c>
      <c r="G43" s="126" t="s">
        <v>609</v>
      </c>
      <c r="H43" s="126" t="s">
        <v>609</v>
      </c>
      <c r="I43" s="126" t="s">
        <v>609</v>
      </c>
      <c r="J43" s="126" t="s">
        <v>609</v>
      </c>
      <c r="K43" s="126" t="s">
        <v>609</v>
      </c>
      <c r="L43" s="126" t="s">
        <v>609</v>
      </c>
      <c r="M43" s="126" t="s">
        <v>609</v>
      </c>
      <c r="N43" s="126" t="s">
        <v>609</v>
      </c>
      <c r="O43" s="126" t="s">
        <v>609</v>
      </c>
      <c r="P43" s="126" t="s">
        <v>609</v>
      </c>
      <c r="Q43" s="126" t="s">
        <v>609</v>
      </c>
      <c r="R43" s="126" t="s">
        <v>609</v>
      </c>
    </row>
    <row r="44" spans="1:18" ht="15.45" customHeight="1" x14ac:dyDescent="0.2">
      <c r="A44" s="163"/>
      <c r="B44" s="234" t="s">
        <v>610</v>
      </c>
      <c r="C44" s="234"/>
      <c r="D44" s="234"/>
      <c r="E44" s="142"/>
      <c r="F44" s="126"/>
      <c r="G44" s="141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</row>
  </sheetData>
  <autoFilter ref="F9:R44" xr:uid="{00000000-0009-0000-0000-000008000000}"/>
  <mergeCells count="53">
    <mergeCell ref="B39:E39"/>
    <mergeCell ref="B41:D41"/>
    <mergeCell ref="B42:D42"/>
    <mergeCell ref="B43:D43"/>
    <mergeCell ref="B44:D44"/>
    <mergeCell ref="B34:E34"/>
    <mergeCell ref="B35:E35"/>
    <mergeCell ref="B36:E36"/>
    <mergeCell ref="B37:E37"/>
    <mergeCell ref="B38:E38"/>
    <mergeCell ref="B29:E29"/>
    <mergeCell ref="B30:E30"/>
    <mergeCell ref="B31:E31"/>
    <mergeCell ref="B32:E32"/>
    <mergeCell ref="B33:E33"/>
    <mergeCell ref="B22:E22"/>
    <mergeCell ref="B23:E23"/>
    <mergeCell ref="B24:E24"/>
    <mergeCell ref="B27:E27"/>
    <mergeCell ref="B28:E28"/>
    <mergeCell ref="B17:E17"/>
    <mergeCell ref="B18:E18"/>
    <mergeCell ref="B19:E19"/>
    <mergeCell ref="B20:E20"/>
    <mergeCell ref="B21:E21"/>
    <mergeCell ref="B12:E12"/>
    <mergeCell ref="B13:E13"/>
    <mergeCell ref="B14:E14"/>
    <mergeCell ref="B15:E15"/>
    <mergeCell ref="B16:E16"/>
    <mergeCell ref="A7:B7"/>
    <mergeCell ref="C7:E7"/>
    <mergeCell ref="F7:K7"/>
    <mergeCell ref="O7:R7"/>
    <mergeCell ref="B11:E11"/>
    <mergeCell ref="A6:B6"/>
    <mergeCell ref="C6:E6"/>
    <mergeCell ref="F6:K6"/>
    <mergeCell ref="L6:N6"/>
    <mergeCell ref="O6:R6"/>
    <mergeCell ref="A4:E4"/>
    <mergeCell ref="F4:K4"/>
    <mergeCell ref="L4:R4"/>
    <mergeCell ref="A5:B5"/>
    <mergeCell ref="C5:R5"/>
    <mergeCell ref="A2:B2"/>
    <mergeCell ref="C2:E2"/>
    <mergeCell ref="F2:K2"/>
    <mergeCell ref="L2:R2"/>
    <mergeCell ref="A3:B3"/>
    <mergeCell ref="C3:E3"/>
    <mergeCell ref="F3:K3"/>
    <mergeCell ref="L3:R3"/>
  </mergeCells>
  <pageMargins left="0.25" right="0.25" top="1" bottom="1" header="0.5" footer="0.5"/>
  <pageSetup fitToHeight="0" orientation="portrait" useFirstPageNumber="1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L84"/>
  <sheetViews>
    <sheetView zoomScale="85" zoomScaleNormal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3.5" customHeight="1" x14ac:dyDescent="0.2"/>
  <cols>
    <col min="1" max="1" width="11" customWidth="1"/>
    <col min="2" max="2" width="15" customWidth="1"/>
    <col min="3" max="3" width="20" customWidth="1"/>
    <col min="4" max="5" width="13" customWidth="1"/>
    <col min="6" max="6" width="10" customWidth="1"/>
    <col min="7" max="38" width="13" customWidth="1"/>
    <col min="39" max="90" width="8.33203125" customWidth="1"/>
  </cols>
  <sheetData>
    <row r="1" spans="1:38" ht="13.5" customHeight="1" x14ac:dyDescent="0.2">
      <c r="A1" s="121"/>
      <c r="B1" s="122"/>
      <c r="C1" s="123"/>
      <c r="D1" s="123"/>
      <c r="E1" s="123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4"/>
      <c r="AJ1" s="124"/>
      <c r="AK1" s="124"/>
      <c r="AL1" s="124"/>
    </row>
    <row r="2" spans="1:38" ht="27.9" customHeight="1" x14ac:dyDescent="0.2">
      <c r="A2" s="221" t="s">
        <v>568</v>
      </c>
      <c r="B2" s="221"/>
      <c r="C2" s="222" t="s">
        <v>111</v>
      </c>
      <c r="D2" s="222"/>
      <c r="E2" s="222"/>
      <c r="F2" s="223" t="s">
        <v>78</v>
      </c>
      <c r="G2" s="223"/>
      <c r="H2" s="223"/>
      <c r="I2" s="223"/>
      <c r="J2" s="223"/>
      <c r="K2" s="223"/>
      <c r="L2" s="224" t="str">
        <f>FunctionList!D16</f>
        <v>See the per-case source map in the evidence document</v>
      </c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4"/>
      <c r="Z2" s="224"/>
      <c r="AA2" s="224"/>
      <c r="AB2" s="224"/>
      <c r="AC2" s="224"/>
      <c r="AD2" s="224"/>
      <c r="AE2" s="224"/>
      <c r="AF2" s="224"/>
      <c r="AG2" s="224"/>
      <c r="AH2" s="224"/>
      <c r="AI2" s="224"/>
      <c r="AJ2" s="224"/>
      <c r="AK2" s="224"/>
      <c r="AL2" s="224"/>
    </row>
    <row r="3" spans="1:38" ht="27.9" customHeight="1" x14ac:dyDescent="0.2">
      <c r="A3" s="221" t="s">
        <v>569</v>
      </c>
      <c r="B3" s="221"/>
      <c r="C3" s="222" t="s">
        <v>49</v>
      </c>
      <c r="D3" s="222"/>
      <c r="E3" s="222"/>
      <c r="F3" s="223" t="s">
        <v>570</v>
      </c>
      <c r="G3" s="223"/>
      <c r="H3" s="223"/>
      <c r="I3" s="223"/>
      <c r="J3" s="223"/>
      <c r="K3" s="223"/>
      <c r="L3" s="225"/>
      <c r="M3" s="225"/>
      <c r="N3" s="225"/>
      <c r="O3" s="225"/>
      <c r="P3" s="225"/>
      <c r="Q3" s="225"/>
      <c r="R3" s="225"/>
      <c r="S3" s="225"/>
      <c r="T3" s="225"/>
      <c r="U3" s="225"/>
      <c r="V3" s="225"/>
      <c r="W3" s="225"/>
      <c r="X3" s="225"/>
      <c r="Y3" s="225"/>
      <c r="Z3" s="225"/>
      <c r="AA3" s="225"/>
      <c r="AB3" s="225"/>
      <c r="AC3" s="225"/>
      <c r="AD3" s="225"/>
      <c r="AE3" s="225"/>
      <c r="AF3" s="225"/>
      <c r="AG3" s="225"/>
      <c r="AH3" s="225"/>
      <c r="AI3" s="225"/>
      <c r="AJ3" s="225"/>
      <c r="AK3" s="225"/>
      <c r="AL3" s="225"/>
    </row>
    <row r="4" spans="1:38" ht="27.9" customHeight="1" x14ac:dyDescent="0.2">
      <c r="A4" s="221" t="s">
        <v>571</v>
      </c>
      <c r="B4" s="221"/>
      <c r="C4" s="221"/>
      <c r="D4" s="221"/>
      <c r="E4" s="221"/>
      <c r="F4" s="223" t="s">
        <v>572</v>
      </c>
      <c r="G4" s="223"/>
      <c r="H4" s="223"/>
      <c r="I4" s="223"/>
      <c r="J4" s="223"/>
      <c r="K4" s="223"/>
      <c r="L4" s="226">
        <f>IF(ISNUMBER(FunctionList!E6),MAX(0,ROUNDUP(C4*FunctionList!E6/1000,0)-O7),"N/A")</f>
        <v>0</v>
      </c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  <c r="X4" s="226"/>
      <c r="Y4" s="226"/>
      <c r="Z4" s="226"/>
      <c r="AA4" s="226"/>
      <c r="AB4" s="226"/>
      <c r="AC4" s="226"/>
      <c r="AD4" s="226"/>
      <c r="AE4" s="226"/>
      <c r="AF4" s="226"/>
      <c r="AG4" s="226"/>
      <c r="AH4" s="226"/>
      <c r="AI4" s="226"/>
      <c r="AJ4" s="226"/>
      <c r="AK4" s="226"/>
      <c r="AL4" s="226"/>
    </row>
    <row r="5" spans="1:38" ht="63.9" customHeight="1" x14ac:dyDescent="0.2">
      <c r="A5" s="221" t="s">
        <v>573</v>
      </c>
      <c r="B5" s="221"/>
      <c r="C5" s="227" t="s">
        <v>808</v>
      </c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7"/>
      <c r="X5" s="227"/>
      <c r="Y5" s="227"/>
      <c r="Z5" s="227"/>
      <c r="AA5" s="227"/>
      <c r="AB5" s="227"/>
      <c r="AC5" s="227"/>
      <c r="AD5" s="227"/>
      <c r="AE5" s="227"/>
      <c r="AF5" s="227"/>
      <c r="AG5" s="227"/>
      <c r="AH5" s="227"/>
      <c r="AI5" s="227"/>
      <c r="AJ5" s="227"/>
      <c r="AK5" s="227"/>
      <c r="AL5" s="227"/>
    </row>
    <row r="6" spans="1:38" ht="27.9" customHeight="1" x14ac:dyDescent="0.2">
      <c r="A6" s="223" t="s">
        <v>551</v>
      </c>
      <c r="B6" s="223"/>
      <c r="C6" s="223" t="s">
        <v>552</v>
      </c>
      <c r="D6" s="223"/>
      <c r="E6" s="223"/>
      <c r="F6" s="223" t="s">
        <v>553</v>
      </c>
      <c r="G6" s="223"/>
      <c r="H6" s="223"/>
      <c r="I6" s="223"/>
      <c r="J6" s="223"/>
      <c r="K6" s="223"/>
      <c r="L6" s="223" t="s">
        <v>575</v>
      </c>
      <c r="M6" s="223"/>
      <c r="N6" s="223"/>
      <c r="O6" s="223" t="s">
        <v>557</v>
      </c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</row>
    <row r="7" spans="1:38" ht="27.9" customHeight="1" x14ac:dyDescent="0.2">
      <c r="A7" s="226">
        <f>COUNTIF(F82:AL82,"P")</f>
        <v>31</v>
      </c>
      <c r="B7" s="226"/>
      <c r="C7" s="226">
        <f>COUNTIF(F82:AL82,"F")</f>
        <v>0</v>
      </c>
      <c r="D7" s="226"/>
      <c r="E7" s="226"/>
      <c r="F7" s="226">
        <f>O7-A7-C7</f>
        <v>2</v>
      </c>
      <c r="G7" s="226"/>
      <c r="H7" s="226"/>
      <c r="I7" s="226"/>
      <c r="J7" s="226"/>
      <c r="K7" s="226"/>
      <c r="L7" s="126">
        <f>COUNTIF(F81:AL81,"N")</f>
        <v>19</v>
      </c>
      <c r="M7" s="126">
        <f>COUNTIF(F81:AL81,"A")</f>
        <v>13</v>
      </c>
      <c r="N7" s="126">
        <f>COUNTIF(F81:AL81,"B")</f>
        <v>1</v>
      </c>
      <c r="O7" s="226">
        <f>COUNTA(F9:AL9)</f>
        <v>33</v>
      </c>
      <c r="P7" s="226"/>
      <c r="Q7" s="226"/>
      <c r="R7" s="226"/>
      <c r="S7" s="226"/>
      <c r="T7" s="226"/>
      <c r="U7" s="226"/>
      <c r="V7" s="226"/>
      <c r="W7" s="226"/>
      <c r="X7" s="226"/>
      <c r="Y7" s="226"/>
      <c r="Z7" s="226"/>
      <c r="AA7" s="226"/>
      <c r="AB7" s="226"/>
      <c r="AC7" s="226"/>
      <c r="AD7" s="226"/>
      <c r="AE7" s="226"/>
      <c r="AF7" s="226"/>
      <c r="AG7" s="226"/>
      <c r="AH7" s="226"/>
      <c r="AI7" s="226"/>
      <c r="AJ7" s="226"/>
      <c r="AK7" s="226"/>
      <c r="AL7" s="226"/>
    </row>
    <row r="8" spans="1:38" ht="13.5" customHeight="1" x14ac:dyDescent="0.2">
      <c r="A8" s="123"/>
      <c r="B8" s="127"/>
      <c r="C8" s="123"/>
      <c r="D8" s="123"/>
      <c r="E8" s="123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4"/>
      <c r="R8" s="124"/>
      <c r="S8" s="124"/>
      <c r="T8" s="124"/>
      <c r="U8" s="124"/>
      <c r="V8" s="124"/>
      <c r="W8" s="124"/>
      <c r="X8" s="124"/>
      <c r="Y8" s="124"/>
      <c r="Z8" s="124"/>
      <c r="AA8" s="124"/>
      <c r="AB8" s="124"/>
      <c r="AC8" s="124"/>
      <c r="AD8" s="124"/>
      <c r="AE8" s="124"/>
      <c r="AF8" s="124"/>
      <c r="AG8" s="124"/>
      <c r="AH8" s="124"/>
      <c r="AI8" s="124"/>
      <c r="AJ8" s="124"/>
      <c r="AK8" s="124"/>
      <c r="AL8" s="124"/>
    </row>
    <row r="9" spans="1:38" ht="42" customHeight="1" x14ac:dyDescent="0.2">
      <c r="A9" s="128"/>
      <c r="B9" s="129"/>
      <c r="C9" s="129"/>
      <c r="D9" s="129"/>
      <c r="E9" s="129"/>
      <c r="F9" s="130" t="s">
        <v>576</v>
      </c>
      <c r="G9" s="130" t="s">
        <v>577</v>
      </c>
      <c r="H9" s="130" t="s">
        <v>578</v>
      </c>
      <c r="I9" s="130" t="s">
        <v>579</v>
      </c>
      <c r="J9" s="130" t="s">
        <v>580</v>
      </c>
      <c r="K9" s="130" t="s">
        <v>581</v>
      </c>
      <c r="L9" s="130" t="s">
        <v>582</v>
      </c>
      <c r="M9" s="130" t="s">
        <v>583</v>
      </c>
      <c r="N9" s="130" t="s">
        <v>612</v>
      </c>
      <c r="O9" s="130" t="s">
        <v>613</v>
      </c>
      <c r="P9" s="130" t="s">
        <v>614</v>
      </c>
      <c r="Q9" s="130" t="s">
        <v>615</v>
      </c>
      <c r="R9" s="130" t="s">
        <v>616</v>
      </c>
      <c r="S9" s="130" t="s">
        <v>617</v>
      </c>
      <c r="T9" s="130" t="s">
        <v>618</v>
      </c>
      <c r="U9" s="130" t="s">
        <v>619</v>
      </c>
      <c r="V9" s="130" t="s">
        <v>620</v>
      </c>
      <c r="W9" s="130" t="s">
        <v>621</v>
      </c>
      <c r="X9" s="130" t="s">
        <v>622</v>
      </c>
      <c r="Y9" s="130" t="s">
        <v>623</v>
      </c>
      <c r="Z9" s="130" t="s">
        <v>624</v>
      </c>
      <c r="AA9" s="130" t="s">
        <v>625</v>
      </c>
      <c r="AB9" s="130" t="s">
        <v>671</v>
      </c>
      <c r="AC9" s="130" t="s">
        <v>672</v>
      </c>
      <c r="AD9" s="130" t="s">
        <v>673</v>
      </c>
      <c r="AE9" s="130" t="s">
        <v>674</v>
      </c>
      <c r="AF9" s="130" t="s">
        <v>675</v>
      </c>
      <c r="AG9" s="130" t="s">
        <v>676</v>
      </c>
      <c r="AH9" s="130" t="s">
        <v>677</v>
      </c>
      <c r="AI9" s="130" t="s">
        <v>678</v>
      </c>
      <c r="AJ9" s="130" t="s">
        <v>679</v>
      </c>
      <c r="AK9" s="130" t="s">
        <v>680</v>
      </c>
      <c r="AL9" s="130" t="s">
        <v>681</v>
      </c>
    </row>
    <row r="10" spans="1:38" ht="15.45" customHeight="1" x14ac:dyDescent="0.2">
      <c r="A10" s="131" t="s">
        <v>584</v>
      </c>
      <c r="B10" s="132" t="s">
        <v>585</v>
      </c>
      <c r="C10" s="133"/>
      <c r="D10" s="134"/>
      <c r="E10" s="135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  <c r="R10" s="136"/>
      <c r="S10" s="136"/>
      <c r="T10" s="154"/>
      <c r="U10" s="154"/>
      <c r="V10" s="154"/>
      <c r="W10" s="154"/>
      <c r="X10" s="154"/>
      <c r="Y10" s="154"/>
      <c r="Z10" s="154"/>
      <c r="AA10" s="154"/>
      <c r="AB10" s="154"/>
      <c r="AC10" s="154"/>
      <c r="AD10" s="154"/>
      <c r="AE10" s="154"/>
      <c r="AF10" s="154"/>
      <c r="AG10" s="154"/>
      <c r="AH10" s="154"/>
      <c r="AI10" s="154"/>
      <c r="AJ10" s="154"/>
      <c r="AK10" s="154"/>
      <c r="AL10" s="154"/>
    </row>
    <row r="11" spans="1:38" ht="28.95" customHeight="1" x14ac:dyDescent="0.2">
      <c r="A11" s="137"/>
      <c r="B11" s="228" t="s">
        <v>113</v>
      </c>
      <c r="C11" s="228"/>
      <c r="D11" s="228"/>
      <c r="E11" s="228"/>
      <c r="F11" s="126" t="s">
        <v>586</v>
      </c>
      <c r="G11" s="126" t="s">
        <v>586</v>
      </c>
      <c r="H11" s="126" t="s">
        <v>586</v>
      </c>
      <c r="I11" s="126" t="s">
        <v>586</v>
      </c>
      <c r="J11" s="126" t="s">
        <v>586</v>
      </c>
      <c r="K11" s="126" t="s">
        <v>586</v>
      </c>
      <c r="L11" s="126" t="s">
        <v>586</v>
      </c>
      <c r="M11" s="126" t="s">
        <v>586</v>
      </c>
      <c r="N11" s="126" t="s">
        <v>586</v>
      </c>
      <c r="O11" s="126" t="s">
        <v>586</v>
      </c>
      <c r="P11" s="126" t="s">
        <v>586</v>
      </c>
      <c r="Q11" s="126" t="s">
        <v>586</v>
      </c>
      <c r="R11" s="126" t="s">
        <v>586</v>
      </c>
      <c r="S11" s="126" t="s">
        <v>586</v>
      </c>
      <c r="T11" s="155" t="s">
        <v>586</v>
      </c>
      <c r="U11" s="155" t="s">
        <v>586</v>
      </c>
      <c r="V11" s="155" t="s">
        <v>586</v>
      </c>
      <c r="W11" s="155" t="s">
        <v>586</v>
      </c>
      <c r="X11" s="155" t="s">
        <v>586</v>
      </c>
      <c r="Y11" s="155" t="s">
        <v>586</v>
      </c>
      <c r="Z11" s="155" t="s">
        <v>586</v>
      </c>
      <c r="AA11" s="155" t="s">
        <v>586</v>
      </c>
      <c r="AB11" s="155" t="s">
        <v>586</v>
      </c>
      <c r="AC11" s="155" t="s">
        <v>586</v>
      </c>
      <c r="AD11" s="155" t="s">
        <v>586</v>
      </c>
      <c r="AE11" s="155" t="s">
        <v>586</v>
      </c>
      <c r="AF11" s="155" t="s">
        <v>586</v>
      </c>
      <c r="AG11" s="155" t="s">
        <v>586</v>
      </c>
      <c r="AH11" s="155" t="s">
        <v>586</v>
      </c>
      <c r="AI11" s="155" t="s">
        <v>586</v>
      </c>
      <c r="AJ11" s="155" t="s">
        <v>586</v>
      </c>
      <c r="AK11" s="155" t="s">
        <v>586</v>
      </c>
      <c r="AL11" s="155" t="s">
        <v>586</v>
      </c>
    </row>
    <row r="12" spans="1:38" ht="28.95" customHeight="1" x14ac:dyDescent="0.2">
      <c r="A12" s="137"/>
      <c r="B12" s="228" t="s">
        <v>809</v>
      </c>
      <c r="C12" s="228"/>
      <c r="D12" s="228"/>
      <c r="E12" s="228"/>
      <c r="F12" s="126" t="s">
        <v>586</v>
      </c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  <c r="R12" s="126"/>
      <c r="S12" s="126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5"/>
      <c r="AE12" s="155"/>
      <c r="AF12" s="155"/>
      <c r="AG12" s="155"/>
      <c r="AH12" s="155"/>
      <c r="AI12" s="155"/>
      <c r="AJ12" s="155"/>
      <c r="AK12" s="155"/>
      <c r="AL12" s="155"/>
    </row>
    <row r="13" spans="1:38" ht="15.45" customHeight="1" x14ac:dyDescent="0.2">
      <c r="A13" s="137"/>
      <c r="B13" s="228" t="s">
        <v>810</v>
      </c>
      <c r="C13" s="228"/>
      <c r="D13" s="228"/>
      <c r="E13" s="228"/>
      <c r="F13" s="126"/>
      <c r="G13" s="126" t="s">
        <v>586</v>
      </c>
      <c r="H13" s="126"/>
      <c r="I13" s="126"/>
      <c r="J13" s="126"/>
      <c r="K13" s="126"/>
      <c r="L13" s="126"/>
      <c r="M13" s="126"/>
      <c r="N13" s="126"/>
      <c r="O13" s="126"/>
      <c r="P13" s="126"/>
      <c r="Q13" s="126"/>
      <c r="R13" s="126"/>
      <c r="S13" s="126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5"/>
      <c r="AE13" s="155"/>
      <c r="AF13" s="155"/>
      <c r="AG13" s="155"/>
      <c r="AH13" s="155"/>
      <c r="AI13" s="155"/>
      <c r="AJ13" s="155"/>
      <c r="AK13" s="155"/>
      <c r="AL13" s="155"/>
    </row>
    <row r="14" spans="1:38" ht="28.95" customHeight="1" x14ac:dyDescent="0.2">
      <c r="A14" s="137"/>
      <c r="B14" s="228" t="s">
        <v>811</v>
      </c>
      <c r="C14" s="228"/>
      <c r="D14" s="228"/>
      <c r="E14" s="228"/>
      <c r="F14" s="126"/>
      <c r="G14" s="126"/>
      <c r="H14" s="139" t="s">
        <v>586</v>
      </c>
      <c r="I14" s="126"/>
      <c r="J14" s="126"/>
      <c r="K14" s="126"/>
      <c r="L14" s="126"/>
      <c r="M14" s="126"/>
      <c r="N14" s="126"/>
      <c r="O14" s="126"/>
      <c r="P14" s="126"/>
      <c r="Q14" s="126"/>
      <c r="R14" s="126"/>
      <c r="S14" s="126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5"/>
      <c r="AE14" s="155"/>
      <c r="AF14" s="155"/>
      <c r="AG14" s="155"/>
      <c r="AH14" s="155"/>
      <c r="AI14" s="155"/>
      <c r="AJ14" s="155"/>
      <c r="AK14" s="155"/>
      <c r="AL14" s="155"/>
    </row>
    <row r="15" spans="1:38" ht="28.95" customHeight="1" x14ac:dyDescent="0.2">
      <c r="A15" s="137"/>
      <c r="B15" s="228" t="s">
        <v>812</v>
      </c>
      <c r="C15" s="228"/>
      <c r="D15" s="228"/>
      <c r="E15" s="228"/>
      <c r="F15" s="126"/>
      <c r="G15" s="126"/>
      <c r="H15" s="126"/>
      <c r="I15" s="140" t="s">
        <v>586</v>
      </c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5"/>
      <c r="AE15" s="155"/>
      <c r="AF15" s="155"/>
      <c r="AG15" s="155"/>
      <c r="AH15" s="155"/>
      <c r="AI15" s="155"/>
      <c r="AJ15" s="155"/>
      <c r="AK15" s="155"/>
      <c r="AL15" s="155"/>
    </row>
    <row r="16" spans="1:38" ht="15.45" customHeight="1" x14ac:dyDescent="0.2">
      <c r="A16" s="137"/>
      <c r="B16" s="228" t="s">
        <v>813</v>
      </c>
      <c r="C16" s="228"/>
      <c r="D16" s="228"/>
      <c r="E16" s="228"/>
      <c r="F16" s="126"/>
      <c r="G16" s="126"/>
      <c r="H16" s="141"/>
      <c r="I16" s="126"/>
      <c r="J16" s="126" t="s">
        <v>586</v>
      </c>
      <c r="K16" s="126"/>
      <c r="L16" s="126"/>
      <c r="M16" s="126"/>
      <c r="N16" s="126"/>
      <c r="O16" s="126"/>
      <c r="P16" s="126"/>
      <c r="Q16" s="126"/>
      <c r="R16" s="126"/>
      <c r="S16" s="126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5"/>
      <c r="AE16" s="155"/>
      <c r="AF16" s="155"/>
      <c r="AG16" s="155"/>
      <c r="AH16" s="155"/>
      <c r="AI16" s="155"/>
      <c r="AJ16" s="155"/>
      <c r="AK16" s="155"/>
      <c r="AL16" s="155"/>
    </row>
    <row r="17" spans="1:38" ht="15.45" customHeight="1" x14ac:dyDescent="0.2">
      <c r="A17" s="137"/>
      <c r="B17" s="228" t="s">
        <v>814</v>
      </c>
      <c r="C17" s="228"/>
      <c r="D17" s="228"/>
      <c r="E17" s="228"/>
      <c r="F17" s="126"/>
      <c r="G17" s="126"/>
      <c r="H17" s="126"/>
      <c r="I17" s="126"/>
      <c r="J17" s="126"/>
      <c r="K17" s="126" t="s">
        <v>586</v>
      </c>
      <c r="L17" s="126"/>
      <c r="M17" s="126"/>
      <c r="N17" s="126"/>
      <c r="O17" s="126"/>
      <c r="P17" s="126"/>
      <c r="Q17" s="126"/>
      <c r="R17" s="126"/>
      <c r="S17" s="126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5"/>
      <c r="AE17" s="155"/>
      <c r="AF17" s="155"/>
      <c r="AG17" s="155"/>
      <c r="AH17" s="155"/>
      <c r="AI17" s="155"/>
      <c r="AJ17" s="155"/>
      <c r="AK17" s="155"/>
      <c r="AL17" s="155"/>
    </row>
    <row r="18" spans="1:38" ht="15.45" customHeight="1" x14ac:dyDescent="0.2">
      <c r="A18" s="137"/>
      <c r="B18" s="228" t="s">
        <v>815</v>
      </c>
      <c r="C18" s="228"/>
      <c r="D18" s="228"/>
      <c r="E18" s="228"/>
      <c r="F18" s="126"/>
      <c r="G18" s="126"/>
      <c r="H18" s="126"/>
      <c r="I18" s="126"/>
      <c r="J18" s="126"/>
      <c r="K18" s="126"/>
      <c r="L18" s="126" t="s">
        <v>586</v>
      </c>
      <c r="M18" s="126"/>
      <c r="N18" s="126"/>
      <c r="O18" s="126"/>
      <c r="P18" s="126"/>
      <c r="Q18" s="126"/>
      <c r="R18" s="126"/>
      <c r="S18" s="126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5"/>
      <c r="AE18" s="155"/>
      <c r="AF18" s="155"/>
      <c r="AG18" s="155"/>
      <c r="AH18" s="155"/>
      <c r="AI18" s="155"/>
      <c r="AJ18" s="155"/>
      <c r="AK18" s="155"/>
      <c r="AL18" s="155"/>
    </row>
    <row r="19" spans="1:38" ht="15.45" customHeight="1" x14ac:dyDescent="0.2">
      <c r="A19" s="137"/>
      <c r="B19" s="228" t="s">
        <v>816</v>
      </c>
      <c r="C19" s="228"/>
      <c r="D19" s="228"/>
      <c r="E19" s="228"/>
      <c r="F19" s="126"/>
      <c r="G19" s="126"/>
      <c r="H19" s="126"/>
      <c r="I19" s="126"/>
      <c r="J19" s="126"/>
      <c r="K19" s="126"/>
      <c r="L19" s="126"/>
      <c r="M19" s="126" t="s">
        <v>586</v>
      </c>
      <c r="N19" s="126"/>
      <c r="O19" s="126"/>
      <c r="P19" s="126"/>
      <c r="Q19" s="126"/>
      <c r="R19" s="126"/>
      <c r="S19" s="126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5"/>
      <c r="AE19" s="155"/>
      <c r="AF19" s="155"/>
      <c r="AG19" s="155"/>
      <c r="AH19" s="155"/>
      <c r="AI19" s="155"/>
      <c r="AJ19" s="155"/>
      <c r="AK19" s="155"/>
      <c r="AL19" s="155"/>
    </row>
    <row r="20" spans="1:38" ht="15.45" customHeight="1" x14ac:dyDescent="0.2">
      <c r="A20" s="137"/>
      <c r="B20" s="228" t="s">
        <v>817</v>
      </c>
      <c r="C20" s="228"/>
      <c r="D20" s="228"/>
      <c r="E20" s="228"/>
      <c r="F20" s="126"/>
      <c r="G20" s="126"/>
      <c r="H20" s="126"/>
      <c r="I20" s="126"/>
      <c r="J20" s="126"/>
      <c r="K20" s="126"/>
      <c r="L20" s="126"/>
      <c r="M20" s="126"/>
      <c r="N20" s="126" t="s">
        <v>586</v>
      </c>
      <c r="O20" s="126"/>
      <c r="P20" s="126"/>
      <c r="Q20" s="126"/>
      <c r="R20" s="126"/>
      <c r="S20" s="126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5"/>
      <c r="AE20" s="155"/>
      <c r="AF20" s="155"/>
      <c r="AG20" s="155"/>
      <c r="AH20" s="155"/>
      <c r="AI20" s="155"/>
      <c r="AJ20" s="155"/>
      <c r="AK20" s="155"/>
      <c r="AL20" s="155"/>
    </row>
    <row r="21" spans="1:38" ht="15.45" customHeight="1" x14ac:dyDescent="0.2">
      <c r="A21" s="137"/>
      <c r="B21" s="228" t="s">
        <v>818</v>
      </c>
      <c r="C21" s="228"/>
      <c r="D21" s="228"/>
      <c r="E21" s="228"/>
      <c r="F21" s="126"/>
      <c r="G21" s="126"/>
      <c r="H21" s="126"/>
      <c r="I21" s="126"/>
      <c r="J21" s="126"/>
      <c r="K21" s="126"/>
      <c r="L21" s="126"/>
      <c r="M21" s="126"/>
      <c r="N21" s="126"/>
      <c r="O21" s="126" t="s">
        <v>586</v>
      </c>
      <c r="P21" s="126"/>
      <c r="Q21" s="126"/>
      <c r="R21" s="126"/>
      <c r="S21" s="126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5"/>
      <c r="AE21" s="155"/>
      <c r="AF21" s="155"/>
      <c r="AG21" s="155"/>
      <c r="AH21" s="155"/>
      <c r="AI21" s="155"/>
      <c r="AJ21" s="155"/>
      <c r="AK21" s="155"/>
      <c r="AL21" s="155"/>
    </row>
    <row r="22" spans="1:38" ht="15.45" customHeight="1" x14ac:dyDescent="0.2">
      <c r="A22" s="137"/>
      <c r="B22" s="228" t="s">
        <v>819</v>
      </c>
      <c r="C22" s="228"/>
      <c r="D22" s="228"/>
      <c r="E22" s="228"/>
      <c r="F22" s="126"/>
      <c r="G22" s="126"/>
      <c r="H22" s="126"/>
      <c r="I22" s="126"/>
      <c r="J22" s="126"/>
      <c r="K22" s="141"/>
      <c r="L22" s="126"/>
      <c r="M22" s="126"/>
      <c r="N22" s="126"/>
      <c r="O22" s="126"/>
      <c r="P22" s="126" t="s">
        <v>586</v>
      </c>
      <c r="Q22" s="126"/>
      <c r="R22" s="126"/>
      <c r="S22" s="126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5"/>
      <c r="AE22" s="155"/>
      <c r="AF22" s="155"/>
      <c r="AG22" s="155"/>
      <c r="AH22" s="155"/>
      <c r="AI22" s="155"/>
      <c r="AJ22" s="155"/>
      <c r="AK22" s="155"/>
      <c r="AL22" s="155"/>
    </row>
    <row r="23" spans="1:38" ht="15.45" customHeight="1" x14ac:dyDescent="0.2">
      <c r="A23" s="137"/>
      <c r="B23" s="228" t="s">
        <v>820</v>
      </c>
      <c r="C23" s="228"/>
      <c r="D23" s="228"/>
      <c r="E23" s="228"/>
      <c r="F23" s="126"/>
      <c r="G23" s="126"/>
      <c r="H23" s="126"/>
      <c r="I23" s="126"/>
      <c r="J23" s="126"/>
      <c r="K23" s="126"/>
      <c r="L23" s="126"/>
      <c r="M23" s="126"/>
      <c r="N23" s="126"/>
      <c r="O23" s="126"/>
      <c r="P23" s="126"/>
      <c r="Q23" s="126" t="s">
        <v>586</v>
      </c>
      <c r="R23" s="126"/>
      <c r="S23" s="126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5"/>
      <c r="AE23" s="155"/>
      <c r="AF23" s="155"/>
      <c r="AG23" s="155"/>
      <c r="AH23" s="155"/>
      <c r="AI23" s="155"/>
      <c r="AJ23" s="155"/>
      <c r="AK23" s="155"/>
      <c r="AL23" s="155"/>
    </row>
    <row r="24" spans="1:38" ht="15.45" customHeight="1" x14ac:dyDescent="0.2">
      <c r="A24" s="137"/>
      <c r="B24" s="228" t="s">
        <v>821</v>
      </c>
      <c r="C24" s="228"/>
      <c r="D24" s="228"/>
      <c r="E24" s="228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 t="s">
        <v>586</v>
      </c>
      <c r="S24" s="126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5"/>
      <c r="AE24" s="155"/>
      <c r="AF24" s="155"/>
      <c r="AG24" s="155"/>
      <c r="AH24" s="155"/>
      <c r="AI24" s="155"/>
      <c r="AJ24" s="155"/>
      <c r="AK24" s="155"/>
      <c r="AL24" s="155"/>
    </row>
    <row r="25" spans="1:38" ht="15.45" customHeight="1" x14ac:dyDescent="0.2">
      <c r="A25" s="137"/>
      <c r="B25" s="228" t="s">
        <v>822</v>
      </c>
      <c r="C25" s="228"/>
      <c r="D25" s="228"/>
      <c r="E25" s="228"/>
      <c r="F25" s="141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 t="s">
        <v>586</v>
      </c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5"/>
      <c r="AE25" s="155"/>
      <c r="AF25" s="155"/>
      <c r="AG25" s="155"/>
      <c r="AH25" s="155"/>
      <c r="AI25" s="155"/>
      <c r="AJ25" s="155"/>
      <c r="AK25" s="155"/>
      <c r="AL25" s="155"/>
    </row>
    <row r="26" spans="1:38" ht="15.45" customHeight="1" x14ac:dyDescent="0.2">
      <c r="A26" s="137"/>
      <c r="B26" s="228" t="s">
        <v>823</v>
      </c>
      <c r="C26" s="228"/>
      <c r="D26" s="228"/>
      <c r="E26" s="228"/>
      <c r="F26" s="126"/>
      <c r="G26" s="126"/>
      <c r="H26" s="126"/>
      <c r="I26" s="126"/>
      <c r="J26" s="126"/>
      <c r="K26" s="126"/>
      <c r="L26" s="140"/>
      <c r="M26" s="126"/>
      <c r="N26" s="126"/>
      <c r="O26" s="126"/>
      <c r="P26" s="126"/>
      <c r="Q26" s="126"/>
      <c r="R26" s="126"/>
      <c r="S26" s="126"/>
      <c r="T26" s="155" t="s">
        <v>586</v>
      </c>
      <c r="U26" s="155"/>
      <c r="V26" s="155"/>
      <c r="W26" s="155"/>
      <c r="X26" s="155"/>
      <c r="Y26" s="155"/>
      <c r="Z26" s="155"/>
      <c r="AA26" s="155"/>
      <c r="AB26" s="155"/>
      <c r="AC26" s="155"/>
      <c r="AD26" s="155"/>
      <c r="AE26" s="155"/>
      <c r="AF26" s="155"/>
      <c r="AG26" s="155"/>
      <c r="AH26" s="155"/>
      <c r="AI26" s="155"/>
      <c r="AJ26" s="155"/>
      <c r="AK26" s="155"/>
      <c r="AL26" s="155"/>
    </row>
    <row r="27" spans="1:38" ht="15.45" customHeight="1" x14ac:dyDescent="0.2">
      <c r="A27" s="137"/>
      <c r="B27" s="229" t="s">
        <v>824</v>
      </c>
      <c r="C27" s="229"/>
      <c r="D27" s="229"/>
      <c r="E27" s="229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55"/>
      <c r="U27" s="155" t="s">
        <v>586</v>
      </c>
      <c r="V27" s="155"/>
      <c r="W27" s="155"/>
      <c r="X27" s="155"/>
      <c r="Y27" s="155"/>
      <c r="Z27" s="155"/>
      <c r="AA27" s="155"/>
      <c r="AB27" s="155"/>
      <c r="AC27" s="155"/>
      <c r="AD27" s="155"/>
      <c r="AE27" s="155"/>
      <c r="AF27" s="155"/>
      <c r="AG27" s="155"/>
      <c r="AH27" s="155"/>
      <c r="AI27" s="155"/>
      <c r="AJ27" s="155"/>
      <c r="AK27" s="155"/>
      <c r="AL27" s="155"/>
    </row>
    <row r="28" spans="1:38" ht="28.95" customHeight="1" x14ac:dyDescent="0.2">
      <c r="A28" s="137"/>
      <c r="B28" s="228" t="s">
        <v>825</v>
      </c>
      <c r="C28" s="228"/>
      <c r="D28" s="228"/>
      <c r="E28" s="228"/>
      <c r="F28" s="126"/>
      <c r="G28" s="126"/>
      <c r="H28" s="126"/>
      <c r="I28" s="141"/>
      <c r="J28" s="126"/>
      <c r="K28" s="126"/>
      <c r="L28" s="141"/>
      <c r="M28" s="126"/>
      <c r="N28" s="126"/>
      <c r="O28" s="126"/>
      <c r="P28" s="126"/>
      <c r="Q28" s="126"/>
      <c r="R28" s="126"/>
      <c r="S28" s="126"/>
      <c r="T28" s="155"/>
      <c r="U28" s="155"/>
      <c r="V28" s="155" t="s">
        <v>586</v>
      </c>
      <c r="W28" s="155"/>
      <c r="X28" s="155"/>
      <c r="Y28" s="155"/>
      <c r="Z28" s="155"/>
      <c r="AA28" s="155"/>
      <c r="AB28" s="155"/>
      <c r="AC28" s="155"/>
      <c r="AD28" s="155"/>
      <c r="AE28" s="155"/>
      <c r="AF28" s="155"/>
      <c r="AG28" s="155"/>
      <c r="AH28" s="155"/>
      <c r="AI28" s="155"/>
      <c r="AJ28" s="155"/>
      <c r="AK28" s="155"/>
      <c r="AL28" s="155"/>
    </row>
    <row r="29" spans="1:38" ht="28.95" customHeight="1" x14ac:dyDescent="0.2">
      <c r="A29" s="137"/>
      <c r="B29" s="228" t="s">
        <v>826</v>
      </c>
      <c r="C29" s="228"/>
      <c r="D29" s="228"/>
      <c r="E29" s="228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55"/>
      <c r="U29" s="155"/>
      <c r="V29" s="155"/>
      <c r="W29" s="155" t="s">
        <v>586</v>
      </c>
      <c r="X29" s="155"/>
      <c r="Y29" s="155"/>
      <c r="Z29" s="155"/>
      <c r="AA29" s="155"/>
      <c r="AB29" s="155"/>
      <c r="AC29" s="155"/>
      <c r="AD29" s="155"/>
      <c r="AE29" s="155"/>
      <c r="AF29" s="155"/>
      <c r="AG29" s="155"/>
      <c r="AH29" s="155"/>
      <c r="AI29" s="155"/>
      <c r="AJ29" s="155"/>
      <c r="AK29" s="155"/>
      <c r="AL29" s="155"/>
    </row>
    <row r="30" spans="1:38" ht="28.95" customHeight="1" x14ac:dyDescent="0.2">
      <c r="A30" s="137"/>
      <c r="B30" s="232" t="s">
        <v>827</v>
      </c>
      <c r="C30" s="232"/>
      <c r="D30" s="232"/>
      <c r="E30" s="232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55"/>
      <c r="U30" s="155"/>
      <c r="V30" s="155"/>
      <c r="W30" s="155"/>
      <c r="X30" s="155" t="s">
        <v>586</v>
      </c>
      <c r="Y30" s="155"/>
      <c r="Z30" s="155"/>
      <c r="AA30" s="155"/>
      <c r="AB30" s="155"/>
      <c r="AC30" s="155"/>
      <c r="AD30" s="155"/>
      <c r="AE30" s="155"/>
      <c r="AF30" s="155"/>
      <c r="AG30" s="155"/>
      <c r="AH30" s="155"/>
      <c r="AI30" s="155"/>
      <c r="AJ30" s="155"/>
      <c r="AK30" s="155"/>
      <c r="AL30" s="155"/>
    </row>
    <row r="31" spans="1:38" ht="28.95" customHeight="1" x14ac:dyDescent="0.2">
      <c r="A31" s="137"/>
      <c r="B31" s="228" t="s">
        <v>828</v>
      </c>
      <c r="C31" s="228"/>
      <c r="D31" s="228"/>
      <c r="E31" s="228"/>
      <c r="F31" s="126"/>
      <c r="G31" s="126"/>
      <c r="H31" s="141"/>
      <c r="I31" s="126"/>
      <c r="J31" s="126"/>
      <c r="K31" s="126"/>
      <c r="L31" s="126"/>
      <c r="M31" s="126"/>
      <c r="N31" s="126"/>
      <c r="O31" s="126"/>
      <c r="P31" s="126"/>
      <c r="Q31" s="126"/>
      <c r="R31" s="126"/>
      <c r="S31" s="126"/>
      <c r="T31" s="155"/>
      <c r="U31" s="155"/>
      <c r="V31" s="155"/>
      <c r="W31" s="155"/>
      <c r="X31" s="155"/>
      <c r="Y31" s="155" t="s">
        <v>586</v>
      </c>
      <c r="Z31" s="155"/>
      <c r="AA31" s="155"/>
      <c r="AB31" s="155"/>
      <c r="AC31" s="155"/>
      <c r="AD31" s="155"/>
      <c r="AE31" s="155"/>
      <c r="AF31" s="155"/>
      <c r="AG31" s="155"/>
      <c r="AH31" s="155"/>
      <c r="AI31" s="155"/>
      <c r="AJ31" s="155"/>
      <c r="AK31" s="155"/>
      <c r="AL31" s="155"/>
    </row>
    <row r="32" spans="1:38" ht="28.95" customHeight="1" x14ac:dyDescent="0.2">
      <c r="A32" s="137"/>
      <c r="B32" s="230" t="s">
        <v>829</v>
      </c>
      <c r="C32" s="230"/>
      <c r="D32" s="230"/>
      <c r="E32" s="230"/>
      <c r="F32" s="150"/>
      <c r="G32" s="150"/>
      <c r="H32" s="150"/>
      <c r="I32" s="126"/>
      <c r="J32" s="150"/>
      <c r="K32" s="150"/>
      <c r="L32" s="150"/>
      <c r="M32" s="126"/>
      <c r="N32" s="126"/>
      <c r="O32" s="150"/>
      <c r="P32" s="150"/>
      <c r="Q32" s="150"/>
      <c r="R32" s="150"/>
      <c r="S32" s="150"/>
      <c r="T32" s="156"/>
      <c r="U32" s="156"/>
      <c r="V32" s="156"/>
      <c r="W32" s="156"/>
      <c r="X32" s="156"/>
      <c r="Y32" s="156"/>
      <c r="Z32" s="156" t="s">
        <v>586</v>
      </c>
      <c r="AA32" s="156"/>
      <c r="AB32" s="156"/>
      <c r="AC32" s="156"/>
      <c r="AD32" s="156"/>
      <c r="AE32" s="156"/>
      <c r="AF32" s="156"/>
      <c r="AG32" s="156"/>
      <c r="AH32" s="156"/>
      <c r="AI32" s="156"/>
      <c r="AJ32" s="156"/>
      <c r="AK32" s="156"/>
      <c r="AL32" s="156"/>
    </row>
    <row r="33" spans="1:38" ht="28.95" customHeight="1" x14ac:dyDescent="0.2">
      <c r="A33" s="137"/>
      <c r="B33" s="231" t="s">
        <v>830</v>
      </c>
      <c r="C33" s="231"/>
      <c r="D33" s="231"/>
      <c r="E33" s="231"/>
      <c r="F33" s="152"/>
      <c r="G33" s="152"/>
      <c r="H33" s="152"/>
      <c r="I33" s="153"/>
      <c r="J33" s="152"/>
      <c r="K33" s="152"/>
      <c r="L33" s="152"/>
      <c r="M33" s="153"/>
      <c r="N33" s="153"/>
      <c r="O33" s="152"/>
      <c r="P33" s="152"/>
      <c r="Q33" s="152"/>
      <c r="R33" s="152"/>
      <c r="S33" s="152"/>
      <c r="T33" s="157"/>
      <c r="U33" s="157"/>
      <c r="V33" s="157"/>
      <c r="W33" s="157"/>
      <c r="X33" s="157"/>
      <c r="Y33" s="157"/>
      <c r="Z33" s="157"/>
      <c r="AA33" s="157" t="s">
        <v>586</v>
      </c>
      <c r="AB33" s="157"/>
      <c r="AC33" s="157"/>
      <c r="AD33" s="157"/>
      <c r="AE33" s="157"/>
      <c r="AF33" s="157"/>
      <c r="AG33" s="157"/>
      <c r="AH33" s="157"/>
      <c r="AI33" s="157"/>
      <c r="AJ33" s="157"/>
      <c r="AK33" s="157"/>
      <c r="AL33" s="157"/>
    </row>
    <row r="34" spans="1:38" ht="28.95" customHeight="1" x14ac:dyDescent="0.2">
      <c r="A34" s="137"/>
      <c r="B34" s="231" t="s">
        <v>831</v>
      </c>
      <c r="C34" s="231"/>
      <c r="D34" s="231"/>
      <c r="E34" s="231"/>
      <c r="F34" s="152"/>
      <c r="G34" s="152"/>
      <c r="H34" s="152"/>
      <c r="I34" s="153"/>
      <c r="J34" s="152"/>
      <c r="K34" s="152"/>
      <c r="L34" s="152"/>
      <c r="M34" s="153"/>
      <c r="N34" s="153"/>
      <c r="O34" s="152"/>
      <c r="P34" s="152"/>
      <c r="Q34" s="152"/>
      <c r="R34" s="152"/>
      <c r="S34" s="152"/>
      <c r="T34" s="157"/>
      <c r="U34" s="157"/>
      <c r="V34" s="157"/>
      <c r="W34" s="157"/>
      <c r="X34" s="157"/>
      <c r="Y34" s="157"/>
      <c r="Z34" s="157"/>
      <c r="AA34" s="157"/>
      <c r="AB34" s="157" t="s">
        <v>586</v>
      </c>
      <c r="AC34" s="157"/>
      <c r="AD34" s="157"/>
      <c r="AE34" s="157"/>
      <c r="AF34" s="157"/>
      <c r="AG34" s="157"/>
      <c r="AH34" s="157"/>
      <c r="AI34" s="157"/>
      <c r="AJ34" s="157"/>
      <c r="AK34" s="157"/>
      <c r="AL34" s="157"/>
    </row>
    <row r="35" spans="1:38" ht="15.45" customHeight="1" x14ac:dyDescent="0.2">
      <c r="A35" s="137"/>
      <c r="B35" s="231" t="s">
        <v>832</v>
      </c>
      <c r="C35" s="231"/>
      <c r="D35" s="231"/>
      <c r="E35" s="231"/>
      <c r="F35" s="152"/>
      <c r="G35" s="152"/>
      <c r="H35" s="152"/>
      <c r="I35" s="153"/>
      <c r="J35" s="152"/>
      <c r="K35" s="152"/>
      <c r="L35" s="152"/>
      <c r="M35" s="153"/>
      <c r="N35" s="153"/>
      <c r="O35" s="152"/>
      <c r="P35" s="152"/>
      <c r="Q35" s="152"/>
      <c r="R35" s="152"/>
      <c r="S35" s="152"/>
      <c r="T35" s="157"/>
      <c r="U35" s="157"/>
      <c r="V35" s="157"/>
      <c r="W35" s="157"/>
      <c r="X35" s="157"/>
      <c r="Y35" s="157"/>
      <c r="Z35" s="157"/>
      <c r="AA35" s="157"/>
      <c r="AB35" s="157"/>
      <c r="AC35" s="157" t="s">
        <v>586</v>
      </c>
      <c r="AD35" s="157"/>
      <c r="AE35" s="157"/>
      <c r="AF35" s="157"/>
      <c r="AG35" s="157"/>
      <c r="AH35" s="157"/>
      <c r="AI35" s="157"/>
      <c r="AJ35" s="157"/>
      <c r="AK35" s="157"/>
      <c r="AL35" s="157"/>
    </row>
    <row r="36" spans="1:38" ht="28.95" customHeight="1" x14ac:dyDescent="0.2">
      <c r="A36" s="161"/>
      <c r="B36" s="233" t="s">
        <v>833</v>
      </c>
      <c r="C36" s="233"/>
      <c r="D36" s="233"/>
      <c r="E36" s="233"/>
      <c r="F36" s="153"/>
      <c r="G36" s="153"/>
      <c r="H36" s="153"/>
      <c r="I36" s="153"/>
      <c r="J36" s="153"/>
      <c r="K36" s="153"/>
      <c r="L36" s="153"/>
      <c r="M36" s="153"/>
      <c r="N36" s="153"/>
      <c r="O36" s="153"/>
      <c r="P36" s="153"/>
      <c r="Q36" s="153"/>
      <c r="R36" s="153"/>
      <c r="S36" s="153"/>
      <c r="T36" s="162"/>
      <c r="U36" s="162"/>
      <c r="V36" s="162"/>
      <c r="W36" s="162"/>
      <c r="X36" s="162"/>
      <c r="Y36" s="162"/>
      <c r="Z36" s="162"/>
      <c r="AA36" s="162"/>
      <c r="AB36" s="162"/>
      <c r="AC36" s="162"/>
      <c r="AD36" s="162" t="s">
        <v>586</v>
      </c>
      <c r="AE36" s="162"/>
      <c r="AF36" s="162"/>
      <c r="AG36" s="162"/>
      <c r="AH36" s="162"/>
      <c r="AI36" s="162"/>
      <c r="AJ36" s="162"/>
      <c r="AK36" s="162"/>
      <c r="AL36" s="162"/>
    </row>
    <row r="37" spans="1:38" ht="28.95" customHeight="1" x14ac:dyDescent="0.2">
      <c r="A37" s="163"/>
      <c r="B37" s="234" t="s">
        <v>834</v>
      </c>
      <c r="C37" s="234"/>
      <c r="D37" s="234"/>
      <c r="E37" s="234"/>
      <c r="F37" s="126"/>
      <c r="G37" s="126"/>
      <c r="H37" s="126"/>
      <c r="I37" s="126"/>
      <c r="J37" s="126"/>
      <c r="K37" s="126"/>
      <c r="L37" s="126"/>
      <c r="M37" s="126"/>
      <c r="N37" s="126"/>
      <c r="O37" s="126"/>
      <c r="P37" s="126"/>
      <c r="Q37" s="126"/>
      <c r="R37" s="126"/>
      <c r="S37" s="126"/>
      <c r="T37" s="155"/>
      <c r="U37" s="155"/>
      <c r="V37" s="155"/>
      <c r="W37" s="155"/>
      <c r="X37" s="155"/>
      <c r="Y37" s="155"/>
      <c r="Z37" s="155"/>
      <c r="AA37" s="155"/>
      <c r="AB37" s="155"/>
      <c r="AC37" s="155"/>
      <c r="AD37" s="155"/>
      <c r="AE37" s="155" t="s">
        <v>586</v>
      </c>
      <c r="AF37" s="155"/>
      <c r="AG37" s="155"/>
      <c r="AH37" s="155"/>
      <c r="AI37" s="155"/>
      <c r="AJ37" s="155"/>
      <c r="AK37" s="155"/>
      <c r="AL37" s="155"/>
    </row>
    <row r="38" spans="1:38" ht="28.95" customHeight="1" x14ac:dyDescent="0.2">
      <c r="A38" s="163"/>
      <c r="B38" s="234" t="s">
        <v>835</v>
      </c>
      <c r="C38" s="234"/>
      <c r="D38" s="234"/>
      <c r="E38" s="234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55"/>
      <c r="U38" s="155"/>
      <c r="V38" s="155"/>
      <c r="W38" s="155"/>
      <c r="X38" s="155"/>
      <c r="Y38" s="155"/>
      <c r="Z38" s="155"/>
      <c r="AA38" s="155"/>
      <c r="AB38" s="155"/>
      <c r="AC38" s="155"/>
      <c r="AD38" s="155"/>
      <c r="AE38" s="155"/>
      <c r="AF38" s="155" t="s">
        <v>586</v>
      </c>
      <c r="AG38" s="155"/>
      <c r="AH38" s="155"/>
      <c r="AI38" s="155"/>
      <c r="AJ38" s="155"/>
      <c r="AK38" s="155"/>
      <c r="AL38" s="155"/>
    </row>
    <row r="39" spans="1:38" ht="15.45" customHeight="1" x14ac:dyDescent="0.2">
      <c r="A39" s="163"/>
      <c r="B39" s="234" t="s">
        <v>836</v>
      </c>
      <c r="C39" s="234"/>
      <c r="D39" s="234"/>
      <c r="E39" s="234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55"/>
      <c r="U39" s="155"/>
      <c r="V39" s="155"/>
      <c r="W39" s="155"/>
      <c r="X39" s="155"/>
      <c r="Y39" s="155"/>
      <c r="Z39" s="155"/>
      <c r="AA39" s="155"/>
      <c r="AB39" s="155"/>
      <c r="AC39" s="155"/>
      <c r="AD39" s="155"/>
      <c r="AE39" s="155"/>
      <c r="AF39" s="155"/>
      <c r="AG39" s="155" t="s">
        <v>586</v>
      </c>
      <c r="AH39" s="155"/>
      <c r="AI39" s="155"/>
      <c r="AJ39" s="155"/>
      <c r="AK39" s="155"/>
      <c r="AL39" s="155"/>
    </row>
    <row r="40" spans="1:38" ht="28.95" customHeight="1" x14ac:dyDescent="0.2">
      <c r="A40" s="163"/>
      <c r="B40" s="234" t="s">
        <v>837</v>
      </c>
      <c r="C40" s="234"/>
      <c r="D40" s="234"/>
      <c r="E40" s="234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55"/>
      <c r="U40" s="155"/>
      <c r="V40" s="155"/>
      <c r="W40" s="155"/>
      <c r="X40" s="155"/>
      <c r="Y40" s="155"/>
      <c r="Z40" s="155"/>
      <c r="AA40" s="155"/>
      <c r="AB40" s="155"/>
      <c r="AC40" s="155"/>
      <c r="AD40" s="155"/>
      <c r="AE40" s="155"/>
      <c r="AF40" s="155"/>
      <c r="AG40" s="155"/>
      <c r="AH40" s="155" t="s">
        <v>586</v>
      </c>
      <c r="AI40" s="155"/>
      <c r="AJ40" s="155"/>
      <c r="AK40" s="155"/>
      <c r="AL40" s="155"/>
    </row>
    <row r="41" spans="1:38" ht="15.45" customHeight="1" x14ac:dyDescent="0.2">
      <c r="A41" s="163"/>
      <c r="B41" s="234" t="s">
        <v>838</v>
      </c>
      <c r="C41" s="234"/>
      <c r="D41" s="234"/>
      <c r="E41" s="234"/>
      <c r="F41" s="126"/>
      <c r="G41" s="126"/>
      <c r="H41" s="126"/>
      <c r="I41" s="126"/>
      <c r="J41" s="126"/>
      <c r="K41" s="126"/>
      <c r="L41" s="126"/>
      <c r="M41" s="126"/>
      <c r="N41" s="126"/>
      <c r="O41" s="126"/>
      <c r="P41" s="126"/>
      <c r="Q41" s="126"/>
      <c r="R41" s="126"/>
      <c r="S41" s="126"/>
      <c r="T41" s="155"/>
      <c r="U41" s="155"/>
      <c r="V41" s="155"/>
      <c r="W41" s="155"/>
      <c r="X41" s="155"/>
      <c r="Y41" s="155"/>
      <c r="Z41" s="155"/>
      <c r="AA41" s="155"/>
      <c r="AB41" s="155"/>
      <c r="AC41" s="155"/>
      <c r="AD41" s="155"/>
      <c r="AE41" s="155"/>
      <c r="AF41" s="155"/>
      <c r="AG41" s="155"/>
      <c r="AH41" s="155"/>
      <c r="AI41" s="155" t="s">
        <v>586</v>
      </c>
      <c r="AJ41" s="155"/>
      <c r="AK41" s="155"/>
      <c r="AL41" s="155"/>
    </row>
    <row r="42" spans="1:38" ht="28.95" customHeight="1" x14ac:dyDescent="0.2">
      <c r="A42" s="163"/>
      <c r="B42" s="234" t="s">
        <v>839</v>
      </c>
      <c r="C42" s="234"/>
      <c r="D42" s="234"/>
      <c r="E42" s="234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55"/>
      <c r="U42" s="155"/>
      <c r="V42" s="155"/>
      <c r="W42" s="155"/>
      <c r="X42" s="155"/>
      <c r="Y42" s="155"/>
      <c r="Z42" s="155"/>
      <c r="AA42" s="155"/>
      <c r="AB42" s="155"/>
      <c r="AC42" s="155"/>
      <c r="AD42" s="155"/>
      <c r="AE42" s="155"/>
      <c r="AF42" s="155"/>
      <c r="AG42" s="155"/>
      <c r="AH42" s="155"/>
      <c r="AI42" s="155"/>
      <c r="AJ42" s="155" t="s">
        <v>586</v>
      </c>
      <c r="AK42" s="155"/>
      <c r="AL42" s="155"/>
    </row>
    <row r="43" spans="1:38" ht="28.95" customHeight="1" x14ac:dyDescent="0.2">
      <c r="A43" s="163"/>
      <c r="B43" s="234" t="s">
        <v>840</v>
      </c>
      <c r="C43" s="234"/>
      <c r="D43" s="234"/>
      <c r="E43" s="234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55"/>
      <c r="U43" s="155"/>
      <c r="V43" s="155"/>
      <c r="W43" s="155"/>
      <c r="X43" s="155"/>
      <c r="Y43" s="155"/>
      <c r="Z43" s="155"/>
      <c r="AA43" s="155"/>
      <c r="AB43" s="155"/>
      <c r="AC43" s="155"/>
      <c r="AD43" s="155"/>
      <c r="AE43" s="155"/>
      <c r="AF43" s="155"/>
      <c r="AG43" s="155"/>
      <c r="AH43" s="155"/>
      <c r="AI43" s="155"/>
      <c r="AJ43" s="155"/>
      <c r="AK43" s="155" t="s">
        <v>586</v>
      </c>
      <c r="AL43" s="155"/>
    </row>
    <row r="44" spans="1:38" ht="28.95" customHeight="1" x14ac:dyDescent="0.2">
      <c r="A44" s="163"/>
      <c r="B44" s="234" t="s">
        <v>841</v>
      </c>
      <c r="C44" s="234"/>
      <c r="D44" s="234"/>
      <c r="E44" s="234"/>
      <c r="F44" s="126"/>
      <c r="G44" s="141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55"/>
      <c r="U44" s="155"/>
      <c r="V44" s="155"/>
      <c r="W44" s="155"/>
      <c r="X44" s="155"/>
      <c r="Y44" s="155"/>
      <c r="Z44" s="155"/>
      <c r="AA44" s="155"/>
      <c r="AB44" s="155"/>
      <c r="AC44" s="155"/>
      <c r="AD44" s="155"/>
      <c r="AE44" s="155"/>
      <c r="AF44" s="155"/>
      <c r="AG44" s="155"/>
      <c r="AH44" s="155"/>
      <c r="AI44" s="155"/>
      <c r="AJ44" s="155"/>
      <c r="AK44" s="155"/>
      <c r="AL44" s="155" t="s">
        <v>586</v>
      </c>
    </row>
    <row r="45" spans="1:38" ht="14.25" customHeight="1" x14ac:dyDescent="0.2">
      <c r="A45" s="163"/>
      <c r="B45" s="164"/>
      <c r="C45" s="142"/>
      <c r="D45" s="142"/>
      <c r="E45" s="142"/>
      <c r="F45" s="126"/>
      <c r="G45" s="141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55"/>
      <c r="U45" s="155"/>
      <c r="V45" s="155"/>
      <c r="W45" s="155"/>
      <c r="X45" s="155"/>
      <c r="Y45" s="155"/>
      <c r="Z45" s="155"/>
      <c r="AA45" s="155"/>
      <c r="AB45" s="155"/>
      <c r="AC45" s="155"/>
      <c r="AD45" s="155"/>
      <c r="AE45" s="155"/>
      <c r="AF45" s="155"/>
      <c r="AG45" s="155"/>
      <c r="AH45" s="155"/>
      <c r="AI45" s="155"/>
      <c r="AJ45" s="155"/>
      <c r="AK45" s="155"/>
      <c r="AL45" s="155"/>
    </row>
    <row r="46" spans="1:38" ht="28.95" customHeight="1" x14ac:dyDescent="0.2">
      <c r="A46" s="131" t="s">
        <v>595</v>
      </c>
      <c r="B46" s="138" t="s">
        <v>596</v>
      </c>
      <c r="C46" s="143"/>
      <c r="D46" s="176"/>
      <c r="E46" s="177"/>
      <c r="F46" s="145"/>
      <c r="G46" s="183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78"/>
      <c r="U46" s="178"/>
      <c r="V46" s="178"/>
      <c r="W46" s="178"/>
      <c r="X46" s="178"/>
      <c r="Y46" s="178"/>
      <c r="Z46" s="178"/>
      <c r="AA46" s="178"/>
      <c r="AB46" s="178"/>
      <c r="AC46" s="178"/>
      <c r="AD46" s="178"/>
      <c r="AE46" s="178"/>
      <c r="AF46" s="178"/>
      <c r="AG46" s="178"/>
      <c r="AH46" s="178"/>
      <c r="AI46" s="178"/>
      <c r="AJ46" s="178"/>
      <c r="AK46" s="178"/>
      <c r="AL46" s="178"/>
    </row>
    <row r="47" spans="1:38" ht="28.95" customHeight="1" x14ac:dyDescent="0.2">
      <c r="A47" s="163"/>
      <c r="B47" s="228" t="s">
        <v>842</v>
      </c>
      <c r="C47" s="228"/>
      <c r="D47" s="228"/>
      <c r="E47" s="228"/>
      <c r="F47" s="126" t="s">
        <v>586</v>
      </c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55"/>
      <c r="U47" s="155"/>
      <c r="V47" s="155"/>
      <c r="W47" s="155"/>
      <c r="X47" s="155"/>
      <c r="Y47" s="155"/>
      <c r="Z47" s="155"/>
      <c r="AA47" s="155"/>
      <c r="AB47" s="155"/>
      <c r="AC47" s="155"/>
      <c r="AD47" s="155"/>
      <c r="AE47" s="155"/>
      <c r="AF47" s="155"/>
      <c r="AG47" s="155"/>
      <c r="AH47" s="155"/>
      <c r="AI47" s="155"/>
      <c r="AJ47" s="155"/>
      <c r="AK47" s="155"/>
      <c r="AL47" s="155"/>
    </row>
    <row r="48" spans="1:38" ht="28.95" customHeight="1" x14ac:dyDescent="0.2">
      <c r="A48" s="163"/>
      <c r="B48" s="228" t="s">
        <v>843</v>
      </c>
      <c r="C48" s="228"/>
      <c r="D48" s="228"/>
      <c r="E48" s="228"/>
      <c r="F48" s="126"/>
      <c r="G48" s="126" t="s">
        <v>586</v>
      </c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55"/>
      <c r="U48" s="155"/>
      <c r="V48" s="155"/>
      <c r="W48" s="155"/>
      <c r="X48" s="155"/>
      <c r="Y48" s="155"/>
      <c r="Z48" s="155"/>
      <c r="AA48" s="155"/>
      <c r="AB48" s="155"/>
      <c r="AC48" s="155"/>
      <c r="AD48" s="155"/>
      <c r="AE48" s="155"/>
      <c r="AF48" s="155"/>
      <c r="AG48" s="155"/>
      <c r="AH48" s="155"/>
      <c r="AI48" s="155"/>
      <c r="AJ48" s="155"/>
      <c r="AK48" s="155"/>
      <c r="AL48" s="155"/>
    </row>
    <row r="49" spans="1:38" ht="28.95" customHeight="1" x14ac:dyDescent="0.2">
      <c r="A49" s="163"/>
      <c r="B49" s="228" t="s">
        <v>844</v>
      </c>
      <c r="C49" s="228"/>
      <c r="D49" s="228"/>
      <c r="E49" s="228"/>
      <c r="F49" s="126"/>
      <c r="G49" s="126"/>
      <c r="H49" s="126" t="s">
        <v>586</v>
      </c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55"/>
      <c r="U49" s="155"/>
      <c r="V49" s="155"/>
      <c r="W49" s="155"/>
      <c r="X49" s="155"/>
      <c r="Y49" s="155"/>
      <c r="Z49" s="155"/>
      <c r="AA49" s="155"/>
      <c r="AB49" s="155"/>
      <c r="AC49" s="155"/>
      <c r="AD49" s="155"/>
      <c r="AE49" s="155"/>
      <c r="AF49" s="155"/>
      <c r="AG49" s="155"/>
      <c r="AH49" s="155"/>
      <c r="AI49" s="155"/>
      <c r="AJ49" s="155"/>
      <c r="AK49" s="155"/>
      <c r="AL49" s="155"/>
    </row>
    <row r="50" spans="1:38" ht="28.95" customHeight="1" x14ac:dyDescent="0.2">
      <c r="A50" s="163"/>
      <c r="B50" s="228" t="s">
        <v>845</v>
      </c>
      <c r="C50" s="228"/>
      <c r="D50" s="228"/>
      <c r="E50" s="228"/>
      <c r="F50" s="126"/>
      <c r="G50" s="126"/>
      <c r="H50" s="126"/>
      <c r="I50" s="126" t="s">
        <v>586</v>
      </c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55"/>
      <c r="U50" s="155"/>
      <c r="V50" s="155"/>
      <c r="W50" s="155"/>
      <c r="X50" s="155"/>
      <c r="Y50" s="155"/>
      <c r="Z50" s="155"/>
      <c r="AA50" s="155"/>
      <c r="AB50" s="155"/>
      <c r="AC50" s="155"/>
      <c r="AD50" s="155"/>
      <c r="AE50" s="155"/>
      <c r="AF50" s="155"/>
      <c r="AG50" s="155"/>
      <c r="AH50" s="155"/>
      <c r="AI50" s="155"/>
      <c r="AJ50" s="155"/>
      <c r="AK50" s="155"/>
      <c r="AL50" s="155"/>
    </row>
    <row r="51" spans="1:38" ht="28.95" customHeight="1" x14ac:dyDescent="0.2">
      <c r="A51" s="163"/>
      <c r="B51" s="228" t="s">
        <v>846</v>
      </c>
      <c r="C51" s="228"/>
      <c r="D51" s="228"/>
      <c r="E51" s="228"/>
      <c r="F51" s="126"/>
      <c r="G51" s="126"/>
      <c r="H51" s="126"/>
      <c r="I51" s="126"/>
      <c r="J51" s="126" t="s">
        <v>586</v>
      </c>
      <c r="K51" s="126"/>
      <c r="L51" s="126"/>
      <c r="M51" s="126"/>
      <c r="N51" s="126"/>
      <c r="O51" s="126"/>
      <c r="P51" s="126"/>
      <c r="Q51" s="126"/>
      <c r="R51" s="126"/>
      <c r="S51" s="126"/>
      <c r="T51" s="155"/>
      <c r="U51" s="155"/>
      <c r="V51" s="155"/>
      <c r="W51" s="155"/>
      <c r="X51" s="155"/>
      <c r="Y51" s="155"/>
      <c r="Z51" s="155"/>
      <c r="AA51" s="155"/>
      <c r="AB51" s="155"/>
      <c r="AC51" s="155"/>
      <c r="AD51" s="155"/>
      <c r="AE51" s="155"/>
      <c r="AF51" s="155"/>
      <c r="AG51" s="155"/>
      <c r="AH51" s="155"/>
      <c r="AI51" s="155"/>
      <c r="AJ51" s="155"/>
      <c r="AK51" s="155"/>
      <c r="AL51" s="155"/>
    </row>
    <row r="52" spans="1:38" ht="28.95" customHeight="1" x14ac:dyDescent="0.2">
      <c r="A52" s="163"/>
      <c r="B52" s="228" t="s">
        <v>847</v>
      </c>
      <c r="C52" s="228"/>
      <c r="D52" s="228"/>
      <c r="E52" s="228"/>
      <c r="F52" s="126"/>
      <c r="G52" s="126"/>
      <c r="H52" s="126"/>
      <c r="I52" s="126"/>
      <c r="J52" s="126"/>
      <c r="K52" s="126" t="s">
        <v>586</v>
      </c>
      <c r="L52" s="126"/>
      <c r="M52" s="126"/>
      <c r="N52" s="126"/>
      <c r="O52" s="126"/>
      <c r="P52" s="126"/>
      <c r="Q52" s="126"/>
      <c r="R52" s="126"/>
      <c r="S52" s="126"/>
      <c r="T52" s="155"/>
      <c r="U52" s="155"/>
      <c r="V52" s="155"/>
      <c r="W52" s="155"/>
      <c r="X52" s="155"/>
      <c r="Y52" s="155"/>
      <c r="Z52" s="155"/>
      <c r="AA52" s="155"/>
      <c r="AB52" s="155"/>
      <c r="AC52" s="155"/>
      <c r="AD52" s="155"/>
      <c r="AE52" s="155"/>
      <c r="AF52" s="155"/>
      <c r="AG52" s="155"/>
      <c r="AH52" s="155"/>
      <c r="AI52" s="155"/>
      <c r="AJ52" s="155"/>
      <c r="AK52" s="155"/>
      <c r="AL52" s="155"/>
    </row>
    <row r="53" spans="1:38" ht="28.95" customHeight="1" x14ac:dyDescent="0.2">
      <c r="A53" s="163"/>
      <c r="B53" s="235" t="s">
        <v>848</v>
      </c>
      <c r="C53" s="235"/>
      <c r="D53" s="235"/>
      <c r="E53" s="235"/>
      <c r="F53" s="139"/>
      <c r="G53" s="141"/>
      <c r="H53" s="139"/>
      <c r="I53" s="139"/>
      <c r="J53" s="139"/>
      <c r="K53" s="139"/>
      <c r="L53" s="139" t="s">
        <v>586</v>
      </c>
      <c r="M53" s="139"/>
      <c r="N53" s="139"/>
      <c r="O53" s="139"/>
      <c r="P53" s="139"/>
      <c r="Q53" s="139"/>
      <c r="R53" s="139"/>
      <c r="S53" s="139"/>
      <c r="T53" s="165"/>
      <c r="U53" s="165"/>
      <c r="V53" s="165"/>
      <c r="W53" s="165"/>
      <c r="X53" s="165"/>
      <c r="Y53" s="165"/>
      <c r="Z53" s="165"/>
      <c r="AA53" s="165"/>
      <c r="AB53" s="165"/>
      <c r="AC53" s="165"/>
      <c r="AD53" s="165"/>
      <c r="AE53" s="165"/>
      <c r="AF53" s="165"/>
      <c r="AG53" s="165"/>
      <c r="AH53" s="165"/>
      <c r="AI53" s="165"/>
      <c r="AJ53" s="165"/>
      <c r="AK53" s="165"/>
      <c r="AL53" s="165"/>
    </row>
    <row r="54" spans="1:38" ht="28.95" customHeight="1" x14ac:dyDescent="0.2">
      <c r="A54" s="161"/>
      <c r="B54" s="236" t="s">
        <v>849</v>
      </c>
      <c r="C54" s="236"/>
      <c r="D54" s="236"/>
      <c r="E54" s="236"/>
      <c r="F54" s="166"/>
      <c r="G54" s="166"/>
      <c r="H54" s="166"/>
      <c r="I54" s="166"/>
      <c r="J54" s="166"/>
      <c r="K54" s="166"/>
      <c r="L54" s="166"/>
      <c r="M54" s="166" t="s">
        <v>586</v>
      </c>
      <c r="N54" s="166"/>
      <c r="O54" s="166"/>
      <c r="P54" s="166"/>
      <c r="Q54" s="166"/>
      <c r="R54" s="166"/>
      <c r="S54" s="166"/>
      <c r="T54" s="167"/>
      <c r="U54" s="167"/>
      <c r="V54" s="167"/>
      <c r="W54" s="167"/>
      <c r="X54" s="167"/>
      <c r="Y54" s="167"/>
      <c r="Z54" s="167"/>
      <c r="AA54" s="167"/>
      <c r="AB54" s="167"/>
      <c r="AC54" s="167"/>
      <c r="AD54" s="167"/>
      <c r="AE54" s="167"/>
      <c r="AF54" s="167"/>
      <c r="AG54" s="167"/>
      <c r="AH54" s="167"/>
      <c r="AI54" s="167"/>
      <c r="AJ54" s="167"/>
      <c r="AK54" s="167"/>
      <c r="AL54" s="167"/>
    </row>
    <row r="55" spans="1:38" ht="28.95" customHeight="1" x14ac:dyDescent="0.2">
      <c r="A55" s="163"/>
      <c r="B55" s="234" t="s">
        <v>850</v>
      </c>
      <c r="C55" s="234"/>
      <c r="D55" s="234"/>
      <c r="E55" s="234"/>
      <c r="F55" s="126"/>
      <c r="G55" s="126"/>
      <c r="H55" s="126"/>
      <c r="I55" s="126"/>
      <c r="J55" s="126"/>
      <c r="K55" s="126"/>
      <c r="L55" s="126"/>
      <c r="M55" s="126"/>
      <c r="N55" s="126" t="s">
        <v>586</v>
      </c>
      <c r="O55" s="126"/>
      <c r="P55" s="126"/>
      <c r="Q55" s="126"/>
      <c r="R55" s="126"/>
      <c r="S55" s="126"/>
      <c r="T55" s="155"/>
      <c r="U55" s="155"/>
      <c r="V55" s="155"/>
      <c r="W55" s="155"/>
      <c r="X55" s="155"/>
      <c r="Y55" s="155"/>
      <c r="Z55" s="155"/>
      <c r="AA55" s="155"/>
      <c r="AB55" s="155"/>
      <c r="AC55" s="155"/>
      <c r="AD55" s="155"/>
      <c r="AE55" s="155"/>
      <c r="AF55" s="155"/>
      <c r="AG55" s="155"/>
      <c r="AH55" s="155"/>
      <c r="AI55" s="155"/>
      <c r="AJ55" s="155"/>
      <c r="AK55" s="155"/>
      <c r="AL55" s="155"/>
    </row>
    <row r="56" spans="1:38" ht="28.95" customHeight="1" x14ac:dyDescent="0.2">
      <c r="A56" s="163"/>
      <c r="B56" s="234" t="s">
        <v>851</v>
      </c>
      <c r="C56" s="234"/>
      <c r="D56" s="234"/>
      <c r="E56" s="234"/>
      <c r="F56" s="168"/>
      <c r="G56" s="168"/>
      <c r="H56" s="168"/>
      <c r="I56" s="168"/>
      <c r="J56" s="168"/>
      <c r="K56" s="168"/>
      <c r="L56" s="168"/>
      <c r="M56" s="168"/>
      <c r="N56" s="168"/>
      <c r="O56" s="169" t="s">
        <v>586</v>
      </c>
      <c r="P56" s="169"/>
      <c r="Q56" s="169"/>
      <c r="R56" s="169"/>
      <c r="S56" s="169"/>
      <c r="T56" s="170"/>
      <c r="U56" s="170"/>
      <c r="V56" s="170"/>
      <c r="W56" s="170"/>
      <c r="X56" s="170"/>
      <c r="Y56" s="170"/>
      <c r="Z56" s="170"/>
      <c r="AA56" s="170"/>
      <c r="AB56" s="170"/>
      <c r="AC56" s="170"/>
      <c r="AD56" s="170"/>
      <c r="AE56" s="170"/>
      <c r="AF56" s="170"/>
      <c r="AG56" s="170"/>
      <c r="AH56" s="170"/>
      <c r="AI56" s="170"/>
      <c r="AJ56" s="170"/>
      <c r="AK56" s="170"/>
      <c r="AL56" s="170"/>
    </row>
    <row r="57" spans="1:38" ht="28.95" customHeight="1" x14ac:dyDescent="0.2">
      <c r="A57" s="171"/>
      <c r="B57" s="237" t="s">
        <v>852</v>
      </c>
      <c r="C57" s="237"/>
      <c r="D57" s="237"/>
      <c r="E57" s="237"/>
      <c r="F57" s="150"/>
      <c r="G57" s="150"/>
      <c r="H57" s="150"/>
      <c r="I57" s="150"/>
      <c r="J57" s="150"/>
      <c r="K57" s="150"/>
      <c r="L57" s="150"/>
      <c r="M57" s="150"/>
      <c r="N57" s="150"/>
      <c r="O57" s="150"/>
      <c r="P57" s="150" t="s">
        <v>586</v>
      </c>
      <c r="Q57" s="150"/>
      <c r="R57" s="150"/>
      <c r="S57" s="150"/>
      <c r="T57" s="156"/>
      <c r="U57" s="156"/>
      <c r="V57" s="156"/>
      <c r="W57" s="156"/>
      <c r="X57" s="156"/>
      <c r="Y57" s="156"/>
      <c r="Z57" s="156"/>
      <c r="AA57" s="156"/>
      <c r="AB57" s="156"/>
      <c r="AC57" s="156"/>
      <c r="AD57" s="156"/>
      <c r="AE57" s="156"/>
      <c r="AF57" s="156"/>
      <c r="AG57" s="156"/>
      <c r="AH57" s="156"/>
      <c r="AI57" s="156"/>
      <c r="AJ57" s="156"/>
      <c r="AK57" s="156"/>
      <c r="AL57" s="156"/>
    </row>
    <row r="58" spans="1:38" ht="28.95" customHeight="1" x14ac:dyDescent="0.2">
      <c r="A58" s="171"/>
      <c r="B58" s="237" t="s">
        <v>853</v>
      </c>
      <c r="C58" s="237"/>
      <c r="D58" s="237"/>
      <c r="E58" s="237"/>
      <c r="F58" s="150"/>
      <c r="G58" s="150"/>
      <c r="H58" s="150"/>
      <c r="I58" s="150"/>
      <c r="J58" s="150"/>
      <c r="K58" s="150"/>
      <c r="L58" s="150"/>
      <c r="M58" s="150"/>
      <c r="N58" s="150"/>
      <c r="O58" s="150"/>
      <c r="P58" s="150"/>
      <c r="Q58" s="150" t="s">
        <v>586</v>
      </c>
      <c r="R58" s="150"/>
      <c r="S58" s="150"/>
      <c r="T58" s="156"/>
      <c r="U58" s="156"/>
      <c r="V58" s="156"/>
      <c r="W58" s="156"/>
      <c r="X58" s="156"/>
      <c r="Y58" s="156"/>
      <c r="Z58" s="156"/>
      <c r="AA58" s="156"/>
      <c r="AB58" s="156"/>
      <c r="AC58" s="156"/>
      <c r="AD58" s="156"/>
      <c r="AE58" s="156"/>
      <c r="AF58" s="156"/>
      <c r="AG58" s="156"/>
      <c r="AH58" s="156"/>
      <c r="AI58" s="156"/>
      <c r="AJ58" s="156"/>
      <c r="AK58" s="156"/>
      <c r="AL58" s="156"/>
    </row>
    <row r="59" spans="1:38" ht="28.95" customHeight="1" x14ac:dyDescent="0.2">
      <c r="A59" s="171"/>
      <c r="B59" s="237" t="s">
        <v>854</v>
      </c>
      <c r="C59" s="237"/>
      <c r="D59" s="237"/>
      <c r="E59" s="237"/>
      <c r="F59" s="150"/>
      <c r="G59" s="150"/>
      <c r="H59" s="150"/>
      <c r="I59" s="150"/>
      <c r="J59" s="150"/>
      <c r="K59" s="150"/>
      <c r="L59" s="150"/>
      <c r="M59" s="150"/>
      <c r="N59" s="150"/>
      <c r="O59" s="150"/>
      <c r="P59" s="150"/>
      <c r="Q59" s="150"/>
      <c r="R59" s="150" t="s">
        <v>586</v>
      </c>
      <c r="S59" s="150"/>
      <c r="T59" s="156"/>
      <c r="U59" s="156"/>
      <c r="V59" s="156"/>
      <c r="W59" s="156"/>
      <c r="X59" s="156"/>
      <c r="Y59" s="156"/>
      <c r="Z59" s="156"/>
      <c r="AA59" s="156"/>
      <c r="AB59" s="156"/>
      <c r="AC59" s="156"/>
      <c r="AD59" s="156"/>
      <c r="AE59" s="156"/>
      <c r="AF59" s="156"/>
      <c r="AG59" s="156"/>
      <c r="AH59" s="156"/>
      <c r="AI59" s="156"/>
      <c r="AJ59" s="156"/>
      <c r="AK59" s="156"/>
      <c r="AL59" s="156"/>
    </row>
    <row r="60" spans="1:38" ht="28.95" customHeight="1" x14ac:dyDescent="0.2">
      <c r="A60" s="171"/>
      <c r="B60" s="237" t="s">
        <v>855</v>
      </c>
      <c r="C60" s="237"/>
      <c r="D60" s="237"/>
      <c r="E60" s="237"/>
      <c r="F60" s="150"/>
      <c r="G60" s="150"/>
      <c r="H60" s="150"/>
      <c r="I60" s="150"/>
      <c r="J60" s="150"/>
      <c r="K60" s="150"/>
      <c r="L60" s="150"/>
      <c r="M60" s="150"/>
      <c r="N60" s="150"/>
      <c r="O60" s="150"/>
      <c r="P60" s="150"/>
      <c r="Q60" s="150"/>
      <c r="R60" s="150"/>
      <c r="S60" s="150" t="s">
        <v>586</v>
      </c>
      <c r="T60" s="156"/>
      <c r="U60" s="156"/>
      <c r="V60" s="156"/>
      <c r="W60" s="156"/>
      <c r="X60" s="156"/>
      <c r="Y60" s="156"/>
      <c r="Z60" s="156"/>
      <c r="AA60" s="156"/>
      <c r="AB60" s="156"/>
      <c r="AC60" s="156"/>
      <c r="AD60" s="156"/>
      <c r="AE60" s="156"/>
      <c r="AF60" s="156"/>
      <c r="AG60" s="156"/>
      <c r="AH60" s="156"/>
      <c r="AI60" s="156"/>
      <c r="AJ60" s="156"/>
      <c r="AK60" s="156"/>
      <c r="AL60" s="156"/>
    </row>
    <row r="61" spans="1:38" ht="28.95" customHeight="1" x14ac:dyDescent="0.2">
      <c r="A61" s="171"/>
      <c r="B61" s="237" t="s">
        <v>856</v>
      </c>
      <c r="C61" s="237"/>
      <c r="D61" s="237"/>
      <c r="E61" s="237"/>
      <c r="F61" s="150"/>
      <c r="G61" s="150"/>
      <c r="H61" s="150"/>
      <c r="I61" s="150"/>
      <c r="J61" s="150"/>
      <c r="K61" s="150"/>
      <c r="L61" s="150"/>
      <c r="M61" s="150"/>
      <c r="N61" s="150"/>
      <c r="O61" s="150"/>
      <c r="P61" s="150"/>
      <c r="Q61" s="150"/>
      <c r="R61" s="150"/>
      <c r="S61" s="150"/>
      <c r="T61" s="156" t="s">
        <v>586</v>
      </c>
      <c r="U61" s="156"/>
      <c r="V61" s="156"/>
      <c r="W61" s="156"/>
      <c r="X61" s="156"/>
      <c r="Y61" s="156"/>
      <c r="Z61" s="156"/>
      <c r="AA61" s="156"/>
      <c r="AB61" s="156"/>
      <c r="AC61" s="156"/>
      <c r="AD61" s="156"/>
      <c r="AE61" s="156"/>
      <c r="AF61" s="156"/>
      <c r="AG61" s="156"/>
      <c r="AH61" s="156"/>
      <c r="AI61" s="156"/>
      <c r="AJ61" s="156"/>
      <c r="AK61" s="156"/>
      <c r="AL61" s="156"/>
    </row>
    <row r="62" spans="1:38" ht="28.95" customHeight="1" x14ac:dyDescent="0.2">
      <c r="A62" s="171"/>
      <c r="B62" s="237" t="s">
        <v>857</v>
      </c>
      <c r="C62" s="237"/>
      <c r="D62" s="237"/>
      <c r="E62" s="237"/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50"/>
      <c r="R62" s="150"/>
      <c r="S62" s="150"/>
      <c r="T62" s="156"/>
      <c r="U62" s="156" t="s">
        <v>586</v>
      </c>
      <c r="V62" s="156"/>
      <c r="W62" s="156"/>
      <c r="X62" s="156"/>
      <c r="Y62" s="156"/>
      <c r="Z62" s="156"/>
      <c r="AA62" s="156"/>
      <c r="AB62" s="156"/>
      <c r="AC62" s="156"/>
      <c r="AD62" s="156"/>
      <c r="AE62" s="156"/>
      <c r="AF62" s="156"/>
      <c r="AG62" s="156"/>
      <c r="AH62" s="156"/>
      <c r="AI62" s="156"/>
      <c r="AJ62" s="156"/>
      <c r="AK62" s="156"/>
      <c r="AL62" s="156"/>
    </row>
    <row r="63" spans="1:38" ht="28.95" customHeight="1" x14ac:dyDescent="0.2">
      <c r="A63" s="171"/>
      <c r="B63" s="237" t="s">
        <v>858</v>
      </c>
      <c r="C63" s="237"/>
      <c r="D63" s="237"/>
      <c r="E63" s="237"/>
      <c r="F63" s="150"/>
      <c r="G63" s="150"/>
      <c r="H63" s="150"/>
      <c r="I63" s="150"/>
      <c r="J63" s="150"/>
      <c r="K63" s="150"/>
      <c r="L63" s="150"/>
      <c r="M63" s="150"/>
      <c r="N63" s="150"/>
      <c r="O63" s="150"/>
      <c r="P63" s="150"/>
      <c r="Q63" s="150"/>
      <c r="R63" s="150"/>
      <c r="S63" s="150"/>
      <c r="T63" s="156"/>
      <c r="U63" s="156"/>
      <c r="V63" s="156" t="s">
        <v>586</v>
      </c>
      <c r="W63" s="156"/>
      <c r="X63" s="156"/>
      <c r="Y63" s="156"/>
      <c r="Z63" s="156"/>
      <c r="AA63" s="156"/>
      <c r="AB63" s="156"/>
      <c r="AC63" s="156"/>
      <c r="AD63" s="156"/>
      <c r="AE63" s="156"/>
      <c r="AF63" s="156"/>
      <c r="AG63" s="156"/>
      <c r="AH63" s="156"/>
      <c r="AI63" s="156"/>
      <c r="AJ63" s="156"/>
      <c r="AK63" s="156"/>
      <c r="AL63" s="156"/>
    </row>
    <row r="64" spans="1:38" ht="28.95" customHeight="1" x14ac:dyDescent="0.2">
      <c r="A64" s="171"/>
      <c r="B64" s="237" t="s">
        <v>859</v>
      </c>
      <c r="C64" s="237"/>
      <c r="D64" s="237"/>
      <c r="E64" s="237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50"/>
      <c r="Q64" s="150"/>
      <c r="R64" s="150"/>
      <c r="S64" s="150"/>
      <c r="T64" s="156"/>
      <c r="U64" s="156"/>
      <c r="V64" s="156"/>
      <c r="W64" s="156" t="s">
        <v>586</v>
      </c>
      <c r="X64" s="156"/>
      <c r="Y64" s="156"/>
      <c r="Z64" s="156"/>
      <c r="AA64" s="156"/>
      <c r="AB64" s="156"/>
      <c r="AC64" s="156"/>
      <c r="AD64" s="156"/>
      <c r="AE64" s="156"/>
      <c r="AF64" s="156"/>
      <c r="AG64" s="156"/>
      <c r="AH64" s="156"/>
      <c r="AI64" s="156"/>
      <c r="AJ64" s="156"/>
      <c r="AK64" s="156"/>
      <c r="AL64" s="156"/>
    </row>
    <row r="65" spans="1:38" ht="28.95" customHeight="1" x14ac:dyDescent="0.2">
      <c r="A65" s="171"/>
      <c r="B65" s="237" t="s">
        <v>860</v>
      </c>
      <c r="C65" s="237"/>
      <c r="D65" s="237"/>
      <c r="E65" s="237"/>
      <c r="F65" s="150"/>
      <c r="G65" s="150"/>
      <c r="H65" s="150"/>
      <c r="I65" s="150"/>
      <c r="J65" s="150"/>
      <c r="K65" s="150"/>
      <c r="L65" s="150"/>
      <c r="M65" s="150"/>
      <c r="N65" s="150"/>
      <c r="O65" s="150"/>
      <c r="P65" s="150"/>
      <c r="Q65" s="150"/>
      <c r="R65" s="150"/>
      <c r="S65" s="150"/>
      <c r="T65" s="156"/>
      <c r="U65" s="156"/>
      <c r="V65" s="156"/>
      <c r="W65" s="156"/>
      <c r="X65" s="156" t="s">
        <v>586</v>
      </c>
      <c r="Y65" s="156"/>
      <c r="Z65" s="156"/>
      <c r="AA65" s="156"/>
      <c r="AB65" s="156"/>
      <c r="AC65" s="156"/>
      <c r="AD65" s="156"/>
      <c r="AE65" s="156"/>
      <c r="AF65" s="156"/>
      <c r="AG65" s="156"/>
      <c r="AH65" s="156"/>
      <c r="AI65" s="156"/>
      <c r="AJ65" s="156"/>
      <c r="AK65" s="156"/>
      <c r="AL65" s="156"/>
    </row>
    <row r="66" spans="1:38" ht="28.95" customHeight="1" x14ac:dyDescent="0.2">
      <c r="A66" s="171"/>
      <c r="B66" s="237" t="s">
        <v>861</v>
      </c>
      <c r="C66" s="237"/>
      <c r="D66" s="237"/>
      <c r="E66" s="237"/>
      <c r="F66" s="150"/>
      <c r="G66" s="150"/>
      <c r="H66" s="150"/>
      <c r="I66" s="150"/>
      <c r="J66" s="150"/>
      <c r="K66" s="150"/>
      <c r="L66" s="150"/>
      <c r="M66" s="150"/>
      <c r="N66" s="150"/>
      <c r="O66" s="150"/>
      <c r="P66" s="150"/>
      <c r="Q66" s="150"/>
      <c r="R66" s="150"/>
      <c r="S66" s="150"/>
      <c r="T66" s="156"/>
      <c r="U66" s="156"/>
      <c r="V66" s="156"/>
      <c r="W66" s="156"/>
      <c r="X66" s="156"/>
      <c r="Y66" s="156" t="s">
        <v>586</v>
      </c>
      <c r="Z66" s="156"/>
      <c r="AA66" s="156"/>
      <c r="AB66" s="156"/>
      <c r="AC66" s="156"/>
      <c r="AD66" s="156"/>
      <c r="AE66" s="156"/>
      <c r="AF66" s="156"/>
      <c r="AG66" s="156"/>
      <c r="AH66" s="156"/>
      <c r="AI66" s="156"/>
      <c r="AJ66" s="156"/>
      <c r="AK66" s="156"/>
      <c r="AL66" s="156"/>
    </row>
    <row r="67" spans="1:38" ht="28.95" customHeight="1" x14ac:dyDescent="0.2">
      <c r="A67" s="171"/>
      <c r="B67" s="237" t="s">
        <v>862</v>
      </c>
      <c r="C67" s="237"/>
      <c r="D67" s="237"/>
      <c r="E67" s="237"/>
      <c r="F67" s="150"/>
      <c r="G67" s="150"/>
      <c r="H67" s="150"/>
      <c r="I67" s="150"/>
      <c r="J67" s="150"/>
      <c r="K67" s="150"/>
      <c r="L67" s="150"/>
      <c r="M67" s="150"/>
      <c r="N67" s="150"/>
      <c r="O67" s="150"/>
      <c r="P67" s="150"/>
      <c r="Q67" s="150"/>
      <c r="R67" s="150"/>
      <c r="S67" s="150"/>
      <c r="T67" s="156"/>
      <c r="U67" s="156"/>
      <c r="V67" s="156"/>
      <c r="W67" s="156"/>
      <c r="X67" s="156"/>
      <c r="Y67" s="156"/>
      <c r="Z67" s="156" t="s">
        <v>586</v>
      </c>
      <c r="AA67" s="156"/>
      <c r="AB67" s="156"/>
      <c r="AC67" s="156"/>
      <c r="AD67" s="156"/>
      <c r="AE67" s="156"/>
      <c r="AF67" s="156"/>
      <c r="AG67" s="156"/>
      <c r="AH67" s="156"/>
      <c r="AI67" s="156"/>
      <c r="AJ67" s="156"/>
      <c r="AK67" s="156"/>
      <c r="AL67" s="156"/>
    </row>
    <row r="68" spans="1:38" ht="42.45" customHeight="1" x14ac:dyDescent="0.2">
      <c r="A68" s="171"/>
      <c r="B68" s="237" t="s">
        <v>863</v>
      </c>
      <c r="C68" s="237"/>
      <c r="D68" s="237"/>
      <c r="E68" s="237"/>
      <c r="F68" s="150"/>
      <c r="G68" s="150"/>
      <c r="H68" s="150"/>
      <c r="I68" s="150"/>
      <c r="J68" s="150"/>
      <c r="K68" s="150"/>
      <c r="L68" s="150"/>
      <c r="M68" s="150"/>
      <c r="N68" s="150"/>
      <c r="O68" s="150"/>
      <c r="P68" s="150"/>
      <c r="Q68" s="150"/>
      <c r="R68" s="150"/>
      <c r="S68" s="150"/>
      <c r="T68" s="156"/>
      <c r="U68" s="156"/>
      <c r="V68" s="156"/>
      <c r="W68" s="156"/>
      <c r="X68" s="156"/>
      <c r="Y68" s="156"/>
      <c r="Z68" s="156"/>
      <c r="AA68" s="156" t="s">
        <v>586</v>
      </c>
      <c r="AB68" s="156"/>
      <c r="AC68" s="156"/>
      <c r="AD68" s="156"/>
      <c r="AE68" s="156"/>
      <c r="AF68" s="156"/>
      <c r="AG68" s="156"/>
      <c r="AH68" s="156"/>
      <c r="AI68" s="156"/>
      <c r="AJ68" s="156"/>
      <c r="AK68" s="156"/>
      <c r="AL68" s="156"/>
    </row>
    <row r="69" spans="1:38" ht="42.45" customHeight="1" x14ac:dyDescent="0.2">
      <c r="A69" s="171"/>
      <c r="B69" s="237" t="s">
        <v>864</v>
      </c>
      <c r="C69" s="237"/>
      <c r="D69" s="237"/>
      <c r="E69" s="237"/>
      <c r="F69" s="150"/>
      <c r="G69" s="150"/>
      <c r="H69" s="150"/>
      <c r="I69" s="150"/>
      <c r="J69" s="150"/>
      <c r="K69" s="150"/>
      <c r="L69" s="150"/>
      <c r="M69" s="150"/>
      <c r="N69" s="150"/>
      <c r="O69" s="150"/>
      <c r="P69" s="150"/>
      <c r="Q69" s="150"/>
      <c r="R69" s="150"/>
      <c r="S69" s="150"/>
      <c r="T69" s="156"/>
      <c r="U69" s="156"/>
      <c r="V69" s="156"/>
      <c r="W69" s="156"/>
      <c r="X69" s="156"/>
      <c r="Y69" s="156"/>
      <c r="Z69" s="156"/>
      <c r="AA69" s="156"/>
      <c r="AB69" s="156" t="s">
        <v>586</v>
      </c>
      <c r="AC69" s="156"/>
      <c r="AD69" s="156"/>
      <c r="AE69" s="156"/>
      <c r="AF69" s="156"/>
      <c r="AG69" s="156"/>
      <c r="AH69" s="156"/>
      <c r="AI69" s="156"/>
      <c r="AJ69" s="156"/>
      <c r="AK69" s="156"/>
      <c r="AL69" s="156"/>
    </row>
    <row r="70" spans="1:38" ht="28.95" customHeight="1" x14ac:dyDescent="0.2">
      <c r="A70" s="171"/>
      <c r="B70" s="237" t="s">
        <v>865</v>
      </c>
      <c r="C70" s="237"/>
      <c r="D70" s="237"/>
      <c r="E70" s="237"/>
      <c r="F70" s="150"/>
      <c r="G70" s="150"/>
      <c r="H70" s="150"/>
      <c r="I70" s="150"/>
      <c r="J70" s="150"/>
      <c r="K70" s="150"/>
      <c r="L70" s="150"/>
      <c r="M70" s="150"/>
      <c r="N70" s="150"/>
      <c r="O70" s="150"/>
      <c r="P70" s="150"/>
      <c r="Q70" s="150"/>
      <c r="R70" s="150"/>
      <c r="S70" s="150"/>
      <c r="T70" s="156"/>
      <c r="U70" s="156"/>
      <c r="V70" s="156"/>
      <c r="W70" s="156"/>
      <c r="X70" s="156"/>
      <c r="Y70" s="156"/>
      <c r="Z70" s="156"/>
      <c r="AA70" s="156"/>
      <c r="AB70" s="156"/>
      <c r="AC70" s="156" t="s">
        <v>586</v>
      </c>
      <c r="AD70" s="156"/>
      <c r="AE70" s="156"/>
      <c r="AF70" s="156"/>
      <c r="AG70" s="156"/>
      <c r="AH70" s="156"/>
      <c r="AI70" s="156"/>
      <c r="AJ70" s="156"/>
      <c r="AK70" s="156"/>
      <c r="AL70" s="156"/>
    </row>
    <row r="71" spans="1:38" ht="42.45" customHeight="1" x14ac:dyDescent="0.2">
      <c r="A71" s="171"/>
      <c r="B71" s="237" t="s">
        <v>866</v>
      </c>
      <c r="C71" s="237"/>
      <c r="D71" s="237"/>
      <c r="E71" s="237"/>
      <c r="F71" s="150"/>
      <c r="G71" s="150"/>
      <c r="H71" s="150"/>
      <c r="I71" s="150"/>
      <c r="J71" s="150"/>
      <c r="K71" s="150"/>
      <c r="L71" s="150"/>
      <c r="M71" s="150"/>
      <c r="N71" s="150"/>
      <c r="O71" s="150"/>
      <c r="P71" s="150"/>
      <c r="Q71" s="150"/>
      <c r="R71" s="150"/>
      <c r="S71" s="150"/>
      <c r="T71" s="156"/>
      <c r="U71" s="156"/>
      <c r="V71" s="156"/>
      <c r="W71" s="156"/>
      <c r="X71" s="156"/>
      <c r="Y71" s="156"/>
      <c r="Z71" s="156"/>
      <c r="AA71" s="156"/>
      <c r="AB71" s="156"/>
      <c r="AC71" s="156"/>
      <c r="AD71" s="156" t="s">
        <v>586</v>
      </c>
      <c r="AE71" s="156"/>
      <c r="AF71" s="156"/>
      <c r="AG71" s="156"/>
      <c r="AH71" s="156"/>
      <c r="AI71" s="156"/>
      <c r="AJ71" s="156"/>
      <c r="AK71" s="156"/>
      <c r="AL71" s="156"/>
    </row>
    <row r="72" spans="1:38" ht="42.45" customHeight="1" x14ac:dyDescent="0.2">
      <c r="A72" s="171"/>
      <c r="B72" s="237" t="s">
        <v>866</v>
      </c>
      <c r="C72" s="237"/>
      <c r="D72" s="237"/>
      <c r="E72" s="237"/>
      <c r="F72" s="150"/>
      <c r="G72" s="150"/>
      <c r="H72" s="150"/>
      <c r="I72" s="150"/>
      <c r="J72" s="150"/>
      <c r="K72" s="150"/>
      <c r="L72" s="150"/>
      <c r="M72" s="150"/>
      <c r="N72" s="150"/>
      <c r="O72" s="150"/>
      <c r="P72" s="150"/>
      <c r="Q72" s="150"/>
      <c r="R72" s="150"/>
      <c r="S72" s="150"/>
      <c r="T72" s="156"/>
      <c r="U72" s="156"/>
      <c r="V72" s="156"/>
      <c r="W72" s="156"/>
      <c r="X72" s="156"/>
      <c r="Y72" s="156"/>
      <c r="Z72" s="156"/>
      <c r="AA72" s="156"/>
      <c r="AB72" s="156"/>
      <c r="AC72" s="156"/>
      <c r="AD72" s="156"/>
      <c r="AE72" s="156" t="s">
        <v>586</v>
      </c>
      <c r="AF72" s="156"/>
      <c r="AG72" s="156"/>
      <c r="AH72" s="156"/>
      <c r="AI72" s="156"/>
      <c r="AJ72" s="156"/>
      <c r="AK72" s="156"/>
      <c r="AL72" s="156"/>
    </row>
    <row r="73" spans="1:38" ht="42.45" customHeight="1" x14ac:dyDescent="0.2">
      <c r="A73" s="171"/>
      <c r="B73" s="237" t="s">
        <v>867</v>
      </c>
      <c r="C73" s="237"/>
      <c r="D73" s="237"/>
      <c r="E73" s="237"/>
      <c r="F73" s="150"/>
      <c r="G73" s="150"/>
      <c r="H73" s="150"/>
      <c r="I73" s="150"/>
      <c r="J73" s="150"/>
      <c r="K73" s="150"/>
      <c r="L73" s="150"/>
      <c r="M73" s="150"/>
      <c r="N73" s="150"/>
      <c r="O73" s="150"/>
      <c r="P73" s="150"/>
      <c r="Q73" s="150"/>
      <c r="R73" s="150"/>
      <c r="S73" s="150"/>
      <c r="T73" s="156"/>
      <c r="U73" s="156"/>
      <c r="V73" s="156"/>
      <c r="W73" s="156"/>
      <c r="X73" s="156"/>
      <c r="Y73" s="156"/>
      <c r="Z73" s="156"/>
      <c r="AA73" s="156"/>
      <c r="AB73" s="156"/>
      <c r="AC73" s="156"/>
      <c r="AD73" s="156"/>
      <c r="AE73" s="156"/>
      <c r="AF73" s="156" t="s">
        <v>586</v>
      </c>
      <c r="AG73" s="156"/>
      <c r="AH73" s="156"/>
      <c r="AI73" s="156"/>
      <c r="AJ73" s="156"/>
      <c r="AK73" s="156"/>
      <c r="AL73" s="156"/>
    </row>
    <row r="74" spans="1:38" ht="28.95" customHeight="1" x14ac:dyDescent="0.2">
      <c r="A74" s="171"/>
      <c r="B74" s="237" t="s">
        <v>868</v>
      </c>
      <c r="C74" s="237"/>
      <c r="D74" s="237"/>
      <c r="E74" s="237"/>
      <c r="F74" s="150"/>
      <c r="G74" s="150"/>
      <c r="H74" s="150"/>
      <c r="I74" s="150"/>
      <c r="J74" s="150"/>
      <c r="K74" s="150"/>
      <c r="L74" s="150"/>
      <c r="M74" s="150"/>
      <c r="N74" s="150"/>
      <c r="O74" s="150"/>
      <c r="P74" s="150"/>
      <c r="Q74" s="150"/>
      <c r="R74" s="150"/>
      <c r="S74" s="150"/>
      <c r="T74" s="156"/>
      <c r="U74" s="156"/>
      <c r="V74" s="156"/>
      <c r="W74" s="156"/>
      <c r="X74" s="156"/>
      <c r="Y74" s="156"/>
      <c r="Z74" s="156"/>
      <c r="AA74" s="156"/>
      <c r="AB74" s="156"/>
      <c r="AC74" s="156"/>
      <c r="AD74" s="156"/>
      <c r="AE74" s="156"/>
      <c r="AF74" s="156"/>
      <c r="AG74" s="156" t="s">
        <v>586</v>
      </c>
      <c r="AH74" s="156"/>
      <c r="AI74" s="156"/>
      <c r="AJ74" s="156"/>
      <c r="AK74" s="156"/>
      <c r="AL74" s="156"/>
    </row>
    <row r="75" spans="1:38" ht="42.45" customHeight="1" x14ac:dyDescent="0.2">
      <c r="A75" s="171"/>
      <c r="B75" s="237" t="s">
        <v>869</v>
      </c>
      <c r="C75" s="237"/>
      <c r="D75" s="237"/>
      <c r="E75" s="237"/>
      <c r="F75" s="150"/>
      <c r="G75" s="150"/>
      <c r="H75" s="150"/>
      <c r="I75" s="150"/>
      <c r="J75" s="150"/>
      <c r="K75" s="150"/>
      <c r="L75" s="150"/>
      <c r="M75" s="150"/>
      <c r="N75" s="150"/>
      <c r="O75" s="150"/>
      <c r="P75" s="150"/>
      <c r="Q75" s="150"/>
      <c r="R75" s="150"/>
      <c r="S75" s="150"/>
      <c r="T75" s="156"/>
      <c r="U75" s="156"/>
      <c r="V75" s="156"/>
      <c r="W75" s="156"/>
      <c r="X75" s="156"/>
      <c r="Y75" s="156"/>
      <c r="Z75" s="156"/>
      <c r="AA75" s="156"/>
      <c r="AB75" s="156"/>
      <c r="AC75" s="156"/>
      <c r="AD75" s="156"/>
      <c r="AE75" s="156"/>
      <c r="AF75" s="156"/>
      <c r="AG75" s="156"/>
      <c r="AH75" s="156" t="s">
        <v>586</v>
      </c>
      <c r="AI75" s="156"/>
      <c r="AJ75" s="156"/>
      <c r="AK75" s="156"/>
      <c r="AL75" s="156"/>
    </row>
    <row r="76" spans="1:38" ht="28.95" customHeight="1" x14ac:dyDescent="0.2">
      <c r="A76" s="171"/>
      <c r="B76" s="237" t="s">
        <v>870</v>
      </c>
      <c r="C76" s="237"/>
      <c r="D76" s="237"/>
      <c r="E76" s="237"/>
      <c r="F76" s="150"/>
      <c r="G76" s="150"/>
      <c r="H76" s="150"/>
      <c r="I76" s="150"/>
      <c r="J76" s="150"/>
      <c r="K76" s="150"/>
      <c r="L76" s="150"/>
      <c r="M76" s="150"/>
      <c r="N76" s="150"/>
      <c r="O76" s="150"/>
      <c r="P76" s="150"/>
      <c r="Q76" s="150"/>
      <c r="R76" s="150"/>
      <c r="S76" s="150"/>
      <c r="T76" s="156"/>
      <c r="U76" s="156"/>
      <c r="V76" s="156"/>
      <c r="W76" s="156"/>
      <c r="X76" s="156"/>
      <c r="Y76" s="156"/>
      <c r="Z76" s="156"/>
      <c r="AA76" s="156"/>
      <c r="AB76" s="156"/>
      <c r="AC76" s="156"/>
      <c r="AD76" s="156"/>
      <c r="AE76" s="156"/>
      <c r="AF76" s="156"/>
      <c r="AG76" s="156"/>
      <c r="AH76" s="156"/>
      <c r="AI76" s="156" t="s">
        <v>586</v>
      </c>
      <c r="AJ76" s="156"/>
      <c r="AK76" s="156"/>
      <c r="AL76" s="156"/>
    </row>
    <row r="77" spans="1:38" ht="28.95" customHeight="1" x14ac:dyDescent="0.2">
      <c r="A77" s="171"/>
      <c r="B77" s="237" t="s">
        <v>871</v>
      </c>
      <c r="C77" s="237"/>
      <c r="D77" s="237"/>
      <c r="E77" s="237"/>
      <c r="F77" s="150"/>
      <c r="G77" s="150"/>
      <c r="H77" s="150"/>
      <c r="I77" s="150"/>
      <c r="J77" s="150"/>
      <c r="K77" s="150"/>
      <c r="L77" s="150"/>
      <c r="M77" s="150"/>
      <c r="N77" s="150"/>
      <c r="O77" s="150"/>
      <c r="P77" s="150"/>
      <c r="Q77" s="150"/>
      <c r="R77" s="150"/>
      <c r="S77" s="150"/>
      <c r="T77" s="156"/>
      <c r="U77" s="156"/>
      <c r="V77" s="156"/>
      <c r="W77" s="156"/>
      <c r="X77" s="156"/>
      <c r="Y77" s="156"/>
      <c r="Z77" s="156"/>
      <c r="AA77" s="156"/>
      <c r="AB77" s="156"/>
      <c r="AC77" s="156"/>
      <c r="AD77" s="156"/>
      <c r="AE77" s="156"/>
      <c r="AF77" s="156"/>
      <c r="AG77" s="156"/>
      <c r="AH77" s="156"/>
      <c r="AI77" s="156"/>
      <c r="AJ77" s="156" t="s">
        <v>586</v>
      </c>
      <c r="AK77" s="156"/>
      <c r="AL77" s="156"/>
    </row>
    <row r="78" spans="1:38" ht="42.45" customHeight="1" x14ac:dyDescent="0.2">
      <c r="A78" s="171"/>
      <c r="B78" s="237" t="s">
        <v>872</v>
      </c>
      <c r="C78" s="237"/>
      <c r="D78" s="237"/>
      <c r="E78" s="237"/>
      <c r="F78" s="150"/>
      <c r="G78" s="150"/>
      <c r="H78" s="150"/>
      <c r="I78" s="150"/>
      <c r="J78" s="150"/>
      <c r="K78" s="150"/>
      <c r="L78" s="150"/>
      <c r="M78" s="150"/>
      <c r="N78" s="150"/>
      <c r="O78" s="150"/>
      <c r="P78" s="150"/>
      <c r="Q78" s="150"/>
      <c r="R78" s="150"/>
      <c r="S78" s="150"/>
      <c r="T78" s="156"/>
      <c r="U78" s="156"/>
      <c r="V78" s="156"/>
      <c r="W78" s="156"/>
      <c r="X78" s="156"/>
      <c r="Y78" s="156"/>
      <c r="Z78" s="156"/>
      <c r="AA78" s="156"/>
      <c r="AB78" s="156"/>
      <c r="AC78" s="156"/>
      <c r="AD78" s="156"/>
      <c r="AE78" s="156"/>
      <c r="AF78" s="156"/>
      <c r="AG78" s="156"/>
      <c r="AH78" s="156"/>
      <c r="AI78" s="156"/>
      <c r="AJ78" s="156"/>
      <c r="AK78" s="156" t="s">
        <v>586</v>
      </c>
      <c r="AL78" s="156"/>
    </row>
    <row r="79" spans="1:38" ht="28.95" customHeight="1" x14ac:dyDescent="0.2">
      <c r="A79" s="171"/>
      <c r="B79" s="237" t="s">
        <v>873</v>
      </c>
      <c r="C79" s="237"/>
      <c r="D79" s="237"/>
      <c r="E79" s="237"/>
      <c r="F79" s="150"/>
      <c r="G79" s="150"/>
      <c r="H79" s="150"/>
      <c r="I79" s="150"/>
      <c r="J79" s="150"/>
      <c r="K79" s="150"/>
      <c r="L79" s="150"/>
      <c r="M79" s="150"/>
      <c r="N79" s="150"/>
      <c r="O79" s="150"/>
      <c r="P79" s="150"/>
      <c r="Q79" s="150"/>
      <c r="R79" s="150"/>
      <c r="S79" s="150"/>
      <c r="T79" s="156"/>
      <c r="U79" s="156"/>
      <c r="V79" s="156"/>
      <c r="W79" s="156"/>
      <c r="X79" s="156"/>
      <c r="Y79" s="156"/>
      <c r="Z79" s="156"/>
      <c r="AA79" s="156"/>
      <c r="AB79" s="156"/>
      <c r="AC79" s="156"/>
      <c r="AD79" s="156"/>
      <c r="AE79" s="156"/>
      <c r="AF79" s="156"/>
      <c r="AG79" s="156"/>
      <c r="AH79" s="156"/>
      <c r="AI79" s="156"/>
      <c r="AJ79" s="156"/>
      <c r="AK79" s="156"/>
      <c r="AL79" s="156" t="s">
        <v>586</v>
      </c>
    </row>
    <row r="80" spans="1:38" ht="14.25" customHeight="1" x14ac:dyDescent="0.25">
      <c r="A80" s="171"/>
      <c r="B80" s="172"/>
      <c r="C80" s="173"/>
      <c r="D80" s="174"/>
      <c r="E80" s="175"/>
      <c r="F80" s="150"/>
      <c r="G80" s="150"/>
      <c r="H80" s="150"/>
      <c r="I80" s="150"/>
      <c r="J80" s="150"/>
      <c r="K80" s="150"/>
      <c r="L80" s="150"/>
      <c r="M80" s="150"/>
      <c r="N80" s="150"/>
      <c r="O80" s="150"/>
      <c r="P80" s="150"/>
      <c r="Q80" s="150"/>
      <c r="R80" s="150"/>
      <c r="S80" s="150"/>
      <c r="T80" s="156"/>
      <c r="U80" s="156"/>
      <c r="V80" s="156"/>
      <c r="W80" s="156"/>
      <c r="X80" s="156"/>
      <c r="Y80" s="156"/>
      <c r="Z80" s="156"/>
      <c r="AA80" s="156"/>
      <c r="AB80" s="156"/>
      <c r="AC80" s="156"/>
      <c r="AD80" s="156"/>
      <c r="AE80" s="156"/>
      <c r="AF80" s="156"/>
      <c r="AG80" s="156"/>
      <c r="AH80" s="156"/>
      <c r="AI80" s="156"/>
      <c r="AJ80" s="156"/>
      <c r="AK80" s="156"/>
      <c r="AL80" s="156"/>
    </row>
    <row r="81" spans="1:38" ht="15.45" customHeight="1" x14ac:dyDescent="0.25">
      <c r="A81" s="131" t="s">
        <v>564</v>
      </c>
      <c r="B81" s="237" t="s">
        <v>605</v>
      </c>
      <c r="C81" s="237"/>
      <c r="D81" s="237"/>
      <c r="E81" s="175"/>
      <c r="F81" s="150" t="s">
        <v>554</v>
      </c>
      <c r="G81" s="150" t="s">
        <v>555</v>
      </c>
      <c r="H81" s="150" t="s">
        <v>555</v>
      </c>
      <c r="I81" s="150" t="s">
        <v>554</v>
      </c>
      <c r="J81" s="150" t="s">
        <v>555</v>
      </c>
      <c r="K81" s="150" t="s">
        <v>554</v>
      </c>
      <c r="L81" s="150" t="s">
        <v>555</v>
      </c>
      <c r="M81" s="150" t="s">
        <v>554</v>
      </c>
      <c r="N81" s="150" t="s">
        <v>554</v>
      </c>
      <c r="O81" s="150" t="s">
        <v>555</v>
      </c>
      <c r="P81" s="150" t="s">
        <v>555</v>
      </c>
      <c r="Q81" s="150" t="s">
        <v>555</v>
      </c>
      <c r="R81" s="150" t="s">
        <v>555</v>
      </c>
      <c r="S81" s="150" t="s">
        <v>554</v>
      </c>
      <c r="T81" s="156" t="s">
        <v>554</v>
      </c>
      <c r="U81" s="156" t="s">
        <v>554</v>
      </c>
      <c r="V81" s="156" t="s">
        <v>554</v>
      </c>
      <c r="W81" s="156" t="s">
        <v>554</v>
      </c>
      <c r="X81" s="156" t="s">
        <v>554</v>
      </c>
      <c r="Y81" s="156" t="s">
        <v>554</v>
      </c>
      <c r="Z81" s="156" t="s">
        <v>554</v>
      </c>
      <c r="AA81" s="156" t="s">
        <v>555</v>
      </c>
      <c r="AB81" s="156" t="s">
        <v>555</v>
      </c>
      <c r="AC81" s="156" t="s">
        <v>555</v>
      </c>
      <c r="AD81" s="156" t="s">
        <v>554</v>
      </c>
      <c r="AE81" s="156" t="s">
        <v>556</v>
      </c>
      <c r="AF81" s="156" t="s">
        <v>554</v>
      </c>
      <c r="AG81" s="156" t="s">
        <v>555</v>
      </c>
      <c r="AH81" s="156" t="s">
        <v>554</v>
      </c>
      <c r="AI81" s="156" t="s">
        <v>554</v>
      </c>
      <c r="AJ81" s="156" t="s">
        <v>554</v>
      </c>
      <c r="AK81" s="156" t="s">
        <v>554</v>
      </c>
      <c r="AL81" s="156" t="s">
        <v>555</v>
      </c>
    </row>
    <row r="82" spans="1:38" ht="15.45" customHeight="1" x14ac:dyDescent="0.25">
      <c r="A82" s="171"/>
      <c r="B82" s="237" t="s">
        <v>606</v>
      </c>
      <c r="C82" s="237"/>
      <c r="D82" s="237"/>
      <c r="E82" s="175"/>
      <c r="F82" s="150" t="s">
        <v>607</v>
      </c>
      <c r="G82" s="150" t="s">
        <v>607</v>
      </c>
      <c r="H82" s="150" t="s">
        <v>607</v>
      </c>
      <c r="I82" s="150" t="s">
        <v>607</v>
      </c>
      <c r="J82" s="150" t="s">
        <v>607</v>
      </c>
      <c r="K82" s="150" t="s">
        <v>607</v>
      </c>
      <c r="L82" s="150" t="s">
        <v>607</v>
      </c>
      <c r="M82" s="150" t="s">
        <v>607</v>
      </c>
      <c r="N82" s="150" t="s">
        <v>607</v>
      </c>
      <c r="O82" s="150" t="s">
        <v>607</v>
      </c>
      <c r="P82" s="150" t="s">
        <v>607</v>
      </c>
      <c r="Q82" s="150" t="s">
        <v>607</v>
      </c>
      <c r="R82" s="150" t="s">
        <v>607</v>
      </c>
      <c r="S82" s="150" t="s">
        <v>607</v>
      </c>
      <c r="T82" s="156" t="s">
        <v>607</v>
      </c>
      <c r="U82" s="156" t="s">
        <v>607</v>
      </c>
      <c r="V82" s="156" t="s">
        <v>607</v>
      </c>
      <c r="W82" s="156" t="s">
        <v>607</v>
      </c>
      <c r="X82" s="156" t="s">
        <v>607</v>
      </c>
      <c r="Y82" s="156" t="s">
        <v>607</v>
      </c>
      <c r="Z82" s="156" t="s">
        <v>607</v>
      </c>
      <c r="AA82" s="156" t="s">
        <v>607</v>
      </c>
      <c r="AB82" s="156" t="s">
        <v>607</v>
      </c>
      <c r="AC82" s="156" t="s">
        <v>607</v>
      </c>
      <c r="AD82" s="156" t="s">
        <v>757</v>
      </c>
      <c r="AE82" s="156" t="s">
        <v>757</v>
      </c>
      <c r="AF82" s="156" t="s">
        <v>607</v>
      </c>
      <c r="AG82" s="156" t="s">
        <v>607</v>
      </c>
      <c r="AH82" s="156" t="s">
        <v>607</v>
      </c>
      <c r="AI82" s="156" t="s">
        <v>607</v>
      </c>
      <c r="AJ82" s="156" t="s">
        <v>607</v>
      </c>
      <c r="AK82" s="156" t="s">
        <v>607</v>
      </c>
      <c r="AL82" s="156" t="s">
        <v>607</v>
      </c>
    </row>
    <row r="83" spans="1:38" ht="28.95" customHeight="1" x14ac:dyDescent="0.25">
      <c r="A83" s="171"/>
      <c r="B83" s="237" t="s">
        <v>608</v>
      </c>
      <c r="C83" s="237"/>
      <c r="D83" s="237"/>
      <c r="E83" s="175"/>
      <c r="F83" s="150" t="s">
        <v>609</v>
      </c>
      <c r="G83" s="150" t="s">
        <v>609</v>
      </c>
      <c r="H83" s="150" t="s">
        <v>609</v>
      </c>
      <c r="I83" s="150" t="s">
        <v>609</v>
      </c>
      <c r="J83" s="150" t="s">
        <v>609</v>
      </c>
      <c r="K83" s="150" t="s">
        <v>609</v>
      </c>
      <c r="L83" s="150" t="s">
        <v>609</v>
      </c>
      <c r="M83" s="150" t="s">
        <v>609</v>
      </c>
      <c r="N83" s="150" t="s">
        <v>609</v>
      </c>
      <c r="O83" s="150" t="s">
        <v>609</v>
      </c>
      <c r="P83" s="150" t="s">
        <v>609</v>
      </c>
      <c r="Q83" s="150" t="s">
        <v>609</v>
      </c>
      <c r="R83" s="150" t="s">
        <v>609</v>
      </c>
      <c r="S83" s="150" t="s">
        <v>609</v>
      </c>
      <c r="T83" s="156" t="s">
        <v>609</v>
      </c>
      <c r="U83" s="156" t="s">
        <v>609</v>
      </c>
      <c r="V83" s="156" t="s">
        <v>609</v>
      </c>
      <c r="W83" s="156" t="s">
        <v>609</v>
      </c>
      <c r="X83" s="156" t="s">
        <v>609</v>
      </c>
      <c r="Y83" s="156" t="s">
        <v>609</v>
      </c>
      <c r="Z83" s="156" t="s">
        <v>609</v>
      </c>
      <c r="AA83" s="156" t="s">
        <v>609</v>
      </c>
      <c r="AB83" s="156" t="s">
        <v>609</v>
      </c>
      <c r="AC83" s="156" t="s">
        <v>609</v>
      </c>
      <c r="AD83" s="156" t="s">
        <v>609</v>
      </c>
      <c r="AE83" s="156" t="s">
        <v>609</v>
      </c>
      <c r="AF83" s="156" t="s">
        <v>609</v>
      </c>
      <c r="AG83" s="156" t="s">
        <v>609</v>
      </c>
      <c r="AH83" s="156" t="s">
        <v>609</v>
      </c>
      <c r="AI83" s="156" t="s">
        <v>609</v>
      </c>
      <c r="AJ83" s="156" t="s">
        <v>609</v>
      </c>
      <c r="AK83" s="156" t="s">
        <v>609</v>
      </c>
      <c r="AL83" s="156" t="s">
        <v>609</v>
      </c>
    </row>
    <row r="84" spans="1:38" ht="15.45" customHeight="1" x14ac:dyDescent="0.25">
      <c r="A84" s="171"/>
      <c r="B84" s="237" t="s">
        <v>610</v>
      </c>
      <c r="C84" s="237"/>
      <c r="D84" s="237"/>
      <c r="E84" s="175"/>
      <c r="F84" s="150"/>
      <c r="G84" s="150"/>
      <c r="H84" s="150"/>
      <c r="I84" s="150"/>
      <c r="J84" s="150"/>
      <c r="K84" s="150"/>
      <c r="L84" s="150"/>
      <c r="M84" s="150"/>
      <c r="N84" s="150"/>
      <c r="O84" s="150"/>
      <c r="P84" s="150"/>
      <c r="Q84" s="150"/>
      <c r="R84" s="150"/>
      <c r="S84" s="150"/>
      <c r="T84" s="156"/>
      <c r="U84" s="156"/>
      <c r="V84" s="156"/>
      <c r="W84" s="156"/>
      <c r="X84" s="156"/>
      <c r="Y84" s="156"/>
      <c r="Z84" s="156"/>
      <c r="AA84" s="156"/>
      <c r="AB84" s="156"/>
      <c r="AC84" s="156"/>
      <c r="AD84" s="156"/>
      <c r="AE84" s="156"/>
      <c r="AF84" s="156"/>
      <c r="AG84" s="156"/>
      <c r="AH84" s="156"/>
      <c r="AI84" s="156"/>
      <c r="AJ84" s="156"/>
      <c r="AK84" s="156"/>
      <c r="AL84" s="156"/>
    </row>
  </sheetData>
  <autoFilter ref="F9:AL84" xr:uid="{00000000-0009-0000-0000-000009000000}"/>
  <mergeCells count="93">
    <mergeCell ref="B79:E79"/>
    <mergeCell ref="B81:D81"/>
    <mergeCell ref="B82:D82"/>
    <mergeCell ref="B83:D83"/>
    <mergeCell ref="B84:D84"/>
    <mergeCell ref="B74:E74"/>
    <mergeCell ref="B75:E75"/>
    <mergeCell ref="B76:E76"/>
    <mergeCell ref="B77:E77"/>
    <mergeCell ref="B78:E78"/>
    <mergeCell ref="B69:E69"/>
    <mergeCell ref="B70:E70"/>
    <mergeCell ref="B71:E71"/>
    <mergeCell ref="B72:E72"/>
    <mergeCell ref="B73:E73"/>
    <mergeCell ref="B64:E64"/>
    <mergeCell ref="B65:E65"/>
    <mergeCell ref="B66:E66"/>
    <mergeCell ref="B67:E67"/>
    <mergeCell ref="B68:E68"/>
    <mergeCell ref="B59:E59"/>
    <mergeCell ref="B60:E60"/>
    <mergeCell ref="B61:E61"/>
    <mergeCell ref="B62:E62"/>
    <mergeCell ref="B63:E63"/>
    <mergeCell ref="B54:E54"/>
    <mergeCell ref="B55:E55"/>
    <mergeCell ref="B56:E56"/>
    <mergeCell ref="B57:E57"/>
    <mergeCell ref="B58:E58"/>
    <mergeCell ref="B49:E49"/>
    <mergeCell ref="B50:E50"/>
    <mergeCell ref="B51:E51"/>
    <mergeCell ref="B52:E52"/>
    <mergeCell ref="B53:E53"/>
    <mergeCell ref="B42:E42"/>
    <mergeCell ref="B43:E43"/>
    <mergeCell ref="B44:E44"/>
    <mergeCell ref="B47:E47"/>
    <mergeCell ref="B48:E48"/>
    <mergeCell ref="B37:E37"/>
    <mergeCell ref="B38:E38"/>
    <mergeCell ref="B39:E39"/>
    <mergeCell ref="B40:E40"/>
    <mergeCell ref="B41:E41"/>
    <mergeCell ref="B32:E32"/>
    <mergeCell ref="B33:E33"/>
    <mergeCell ref="B34:E34"/>
    <mergeCell ref="B35:E35"/>
    <mergeCell ref="B36:E36"/>
    <mergeCell ref="B27:E27"/>
    <mergeCell ref="B28:E28"/>
    <mergeCell ref="B29:E29"/>
    <mergeCell ref="B30:E30"/>
    <mergeCell ref="B31:E31"/>
    <mergeCell ref="B22:E22"/>
    <mergeCell ref="B23:E23"/>
    <mergeCell ref="B24:E24"/>
    <mergeCell ref="B25:E25"/>
    <mergeCell ref="B26:E26"/>
    <mergeCell ref="B17:E17"/>
    <mergeCell ref="B18:E18"/>
    <mergeCell ref="B19:E19"/>
    <mergeCell ref="B20:E20"/>
    <mergeCell ref="B21:E21"/>
    <mergeCell ref="B12:E12"/>
    <mergeCell ref="B13:E13"/>
    <mergeCell ref="B14:E14"/>
    <mergeCell ref="B15:E15"/>
    <mergeCell ref="B16:E16"/>
    <mergeCell ref="A7:B7"/>
    <mergeCell ref="C7:E7"/>
    <mergeCell ref="F7:K7"/>
    <mergeCell ref="O7:AL7"/>
    <mergeCell ref="B11:E11"/>
    <mergeCell ref="A6:B6"/>
    <mergeCell ref="C6:E6"/>
    <mergeCell ref="F6:K6"/>
    <mergeCell ref="L6:N6"/>
    <mergeCell ref="O6:AL6"/>
    <mergeCell ref="A4:E4"/>
    <mergeCell ref="F4:K4"/>
    <mergeCell ref="L4:AL4"/>
    <mergeCell ref="A5:B5"/>
    <mergeCell ref="C5:AL5"/>
    <mergeCell ref="A2:B2"/>
    <mergeCell ref="C2:E2"/>
    <mergeCell ref="F2:K2"/>
    <mergeCell ref="L2:AL2"/>
    <mergeCell ref="A3:B3"/>
    <mergeCell ref="C3:E3"/>
    <mergeCell ref="F3:K3"/>
    <mergeCell ref="L3:AL3"/>
  </mergeCells>
  <pageMargins left="0.25" right="0.25" top="1" bottom="1" header="0.5" footer="0.5"/>
  <pageSetup fitToHeight="0" orientation="portrait" useFirstPageNumber="1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S46"/>
  <sheetViews>
    <sheetView zoomScale="85" zoomScaleNormal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3.5" customHeight="1" x14ac:dyDescent="0.2"/>
  <cols>
    <col min="1" max="1" width="11" customWidth="1"/>
    <col min="2" max="2" width="15" customWidth="1"/>
    <col min="3" max="3" width="20" customWidth="1"/>
    <col min="4" max="5" width="13" customWidth="1"/>
    <col min="6" max="6" width="10" customWidth="1"/>
    <col min="7" max="19" width="13" customWidth="1"/>
    <col min="20" max="90" width="8.33203125" customWidth="1"/>
  </cols>
  <sheetData>
    <row r="1" spans="1:19" ht="13.5" customHeight="1" x14ac:dyDescent="0.2">
      <c r="A1" s="121"/>
      <c r="B1" s="122"/>
      <c r="C1" s="123"/>
      <c r="D1" s="123"/>
      <c r="E1" s="123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</row>
    <row r="2" spans="1:19" ht="27.9" customHeight="1" x14ac:dyDescent="0.2">
      <c r="A2" s="221" t="s">
        <v>568</v>
      </c>
      <c r="B2" s="221"/>
      <c r="C2" s="222" t="s">
        <v>116</v>
      </c>
      <c r="D2" s="222"/>
      <c r="E2" s="222"/>
      <c r="F2" s="223" t="s">
        <v>78</v>
      </c>
      <c r="G2" s="223"/>
      <c r="H2" s="223"/>
      <c r="I2" s="223"/>
      <c r="J2" s="223"/>
      <c r="K2" s="223"/>
      <c r="L2" s="224" t="str">
        <f>FunctionList!D17</f>
        <v>See the per-case source map in the evidence document</v>
      </c>
      <c r="M2" s="224"/>
      <c r="N2" s="224"/>
      <c r="O2" s="224"/>
      <c r="P2" s="224"/>
      <c r="Q2" s="224"/>
      <c r="R2" s="224"/>
      <c r="S2" s="224"/>
    </row>
    <row r="3" spans="1:19" ht="27.9" customHeight="1" x14ac:dyDescent="0.2">
      <c r="A3" s="221" t="s">
        <v>569</v>
      </c>
      <c r="B3" s="221"/>
      <c r="C3" s="222" t="s">
        <v>49</v>
      </c>
      <c r="D3" s="222"/>
      <c r="E3" s="222"/>
      <c r="F3" s="223" t="s">
        <v>570</v>
      </c>
      <c r="G3" s="223"/>
      <c r="H3" s="223"/>
      <c r="I3" s="223"/>
      <c r="J3" s="223"/>
      <c r="K3" s="223"/>
      <c r="L3" s="225"/>
      <c r="M3" s="225"/>
      <c r="N3" s="225"/>
      <c r="O3" s="225"/>
      <c r="P3" s="225"/>
      <c r="Q3" s="225"/>
      <c r="R3" s="225"/>
      <c r="S3" s="225"/>
    </row>
    <row r="4" spans="1:19" ht="27.9" customHeight="1" x14ac:dyDescent="0.2">
      <c r="A4" s="221" t="s">
        <v>571</v>
      </c>
      <c r="B4" s="221"/>
      <c r="C4" s="221"/>
      <c r="D4" s="221"/>
      <c r="E4" s="221"/>
      <c r="F4" s="223" t="s">
        <v>572</v>
      </c>
      <c r="G4" s="223"/>
      <c r="H4" s="223"/>
      <c r="I4" s="223"/>
      <c r="J4" s="223"/>
      <c r="K4" s="223"/>
      <c r="L4" s="226">
        <f>IF(ISNUMBER(FunctionList!E6),MAX(0,ROUNDUP(C4*FunctionList!E6/1000,0)-O7),"N/A")</f>
        <v>0</v>
      </c>
      <c r="M4" s="226"/>
      <c r="N4" s="226"/>
      <c r="O4" s="226"/>
      <c r="P4" s="226"/>
      <c r="Q4" s="226"/>
      <c r="R4" s="226"/>
      <c r="S4" s="226"/>
    </row>
    <row r="5" spans="1:19" ht="63.9" customHeight="1" x14ac:dyDescent="0.2">
      <c r="A5" s="221" t="s">
        <v>573</v>
      </c>
      <c r="B5" s="221"/>
      <c r="C5" s="227" t="s">
        <v>874</v>
      </c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</row>
    <row r="6" spans="1:19" ht="27.9" customHeight="1" x14ac:dyDescent="0.2">
      <c r="A6" s="223" t="s">
        <v>551</v>
      </c>
      <c r="B6" s="223"/>
      <c r="C6" s="223" t="s">
        <v>552</v>
      </c>
      <c r="D6" s="223"/>
      <c r="E6" s="223"/>
      <c r="F6" s="223" t="s">
        <v>553</v>
      </c>
      <c r="G6" s="223"/>
      <c r="H6" s="223"/>
      <c r="I6" s="223"/>
      <c r="J6" s="223"/>
      <c r="K6" s="223"/>
      <c r="L6" s="223" t="s">
        <v>575</v>
      </c>
      <c r="M6" s="223"/>
      <c r="N6" s="223"/>
      <c r="O6" s="223" t="s">
        <v>557</v>
      </c>
      <c r="P6" s="223"/>
      <c r="Q6" s="223"/>
      <c r="R6" s="223"/>
      <c r="S6" s="223"/>
    </row>
    <row r="7" spans="1:19" ht="27.9" customHeight="1" x14ac:dyDescent="0.2">
      <c r="A7" s="226">
        <f>COUNTIF(F44:S44,"P")</f>
        <v>13</v>
      </c>
      <c r="B7" s="226"/>
      <c r="C7" s="226">
        <f>COUNTIF(F44:S44,"F")</f>
        <v>0</v>
      </c>
      <c r="D7" s="226"/>
      <c r="E7" s="226"/>
      <c r="F7" s="226">
        <f>O7-A7-C7</f>
        <v>1</v>
      </c>
      <c r="G7" s="226"/>
      <c r="H7" s="226"/>
      <c r="I7" s="226"/>
      <c r="J7" s="226"/>
      <c r="K7" s="226"/>
      <c r="L7" s="126">
        <f>COUNTIF(F43:S43,"N")</f>
        <v>10</v>
      </c>
      <c r="M7" s="126">
        <f>COUNTIF(F43:S43,"A")</f>
        <v>3</v>
      </c>
      <c r="N7" s="126">
        <f>COUNTIF(F43:S43,"B")</f>
        <v>1</v>
      </c>
      <c r="O7" s="226">
        <f>COUNTA(F9:S9)</f>
        <v>14</v>
      </c>
      <c r="P7" s="226"/>
      <c r="Q7" s="226"/>
      <c r="R7" s="226"/>
      <c r="S7" s="226"/>
    </row>
    <row r="8" spans="1:19" ht="13.5" customHeight="1" x14ac:dyDescent="0.2">
      <c r="A8" s="123"/>
      <c r="B8" s="127"/>
      <c r="C8" s="123"/>
      <c r="D8" s="123"/>
      <c r="E8" s="123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4"/>
      <c r="R8" s="124"/>
      <c r="S8" s="124"/>
    </row>
    <row r="9" spans="1:19" ht="42" customHeight="1" x14ac:dyDescent="0.2">
      <c r="A9" s="128"/>
      <c r="B9" s="129"/>
      <c r="C9" s="129"/>
      <c r="D9" s="129"/>
      <c r="E9" s="129"/>
      <c r="F9" s="130" t="s">
        <v>576</v>
      </c>
      <c r="G9" s="130" t="s">
        <v>577</v>
      </c>
      <c r="H9" s="130" t="s">
        <v>578</v>
      </c>
      <c r="I9" s="130" t="s">
        <v>579</v>
      </c>
      <c r="J9" s="130" t="s">
        <v>580</v>
      </c>
      <c r="K9" s="130" t="s">
        <v>581</v>
      </c>
      <c r="L9" s="130" t="s">
        <v>582</v>
      </c>
      <c r="M9" s="130" t="s">
        <v>583</v>
      </c>
      <c r="N9" s="130" t="s">
        <v>612</v>
      </c>
      <c r="O9" s="130" t="s">
        <v>613</v>
      </c>
      <c r="P9" s="130" t="s">
        <v>614</v>
      </c>
      <c r="Q9" s="130" t="s">
        <v>615</v>
      </c>
      <c r="R9" s="130" t="s">
        <v>616</v>
      </c>
      <c r="S9" s="130" t="s">
        <v>617</v>
      </c>
    </row>
    <row r="10" spans="1:19" ht="15.45" customHeight="1" x14ac:dyDescent="0.2">
      <c r="A10" s="131" t="s">
        <v>584</v>
      </c>
      <c r="B10" s="132" t="s">
        <v>585</v>
      </c>
      <c r="C10" s="133"/>
      <c r="D10" s="134"/>
      <c r="E10" s="135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  <c r="R10" s="136"/>
      <c r="S10" s="136"/>
    </row>
    <row r="11" spans="1:19" ht="28.95" customHeight="1" x14ac:dyDescent="0.2">
      <c r="A11" s="137"/>
      <c r="B11" s="228" t="s">
        <v>118</v>
      </c>
      <c r="C11" s="228"/>
      <c r="D11" s="228"/>
      <c r="E11" s="228"/>
      <c r="F11" s="126" t="s">
        <v>586</v>
      </c>
      <c r="G11" s="126" t="s">
        <v>586</v>
      </c>
      <c r="H11" s="126" t="s">
        <v>586</v>
      </c>
      <c r="I11" s="126" t="s">
        <v>586</v>
      </c>
      <c r="J11" s="126" t="s">
        <v>586</v>
      </c>
      <c r="K11" s="126" t="s">
        <v>586</v>
      </c>
      <c r="L11" s="126" t="s">
        <v>586</v>
      </c>
      <c r="M11" s="126" t="s">
        <v>586</v>
      </c>
      <c r="N11" s="126" t="s">
        <v>586</v>
      </c>
      <c r="O11" s="126" t="s">
        <v>586</v>
      </c>
      <c r="P11" s="126" t="s">
        <v>586</v>
      </c>
      <c r="Q11" s="126" t="s">
        <v>586</v>
      </c>
      <c r="R11" s="126" t="s">
        <v>586</v>
      </c>
      <c r="S11" s="126" t="s">
        <v>586</v>
      </c>
    </row>
    <row r="12" spans="1:19" ht="15.45" customHeight="1" x14ac:dyDescent="0.2">
      <c r="A12" s="137"/>
      <c r="B12" s="228" t="s">
        <v>875</v>
      </c>
      <c r="C12" s="228"/>
      <c r="D12" s="228"/>
      <c r="E12" s="228"/>
      <c r="F12" s="126" t="s">
        <v>586</v>
      </c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  <c r="R12" s="126"/>
      <c r="S12" s="126"/>
    </row>
    <row r="13" spans="1:19" ht="15.45" customHeight="1" x14ac:dyDescent="0.2">
      <c r="A13" s="137"/>
      <c r="B13" s="228" t="s">
        <v>876</v>
      </c>
      <c r="C13" s="228"/>
      <c r="D13" s="228"/>
      <c r="E13" s="228"/>
      <c r="F13" s="126"/>
      <c r="G13" s="126" t="s">
        <v>586</v>
      </c>
      <c r="H13" s="126"/>
      <c r="I13" s="126"/>
      <c r="J13" s="126"/>
      <c r="K13" s="126"/>
      <c r="L13" s="126"/>
      <c r="M13" s="126"/>
      <c r="N13" s="126"/>
      <c r="O13" s="126"/>
      <c r="P13" s="126"/>
      <c r="Q13" s="126"/>
      <c r="R13" s="126"/>
      <c r="S13" s="126"/>
    </row>
    <row r="14" spans="1:19" ht="15.45" customHeight="1" x14ac:dyDescent="0.2">
      <c r="A14" s="137"/>
      <c r="B14" s="228" t="s">
        <v>877</v>
      </c>
      <c r="C14" s="228"/>
      <c r="D14" s="228"/>
      <c r="E14" s="228"/>
      <c r="F14" s="126"/>
      <c r="G14" s="126"/>
      <c r="H14" s="139" t="s">
        <v>586</v>
      </c>
      <c r="I14" s="126"/>
      <c r="J14" s="126"/>
      <c r="K14" s="126"/>
      <c r="L14" s="126"/>
      <c r="M14" s="126"/>
      <c r="N14" s="126"/>
      <c r="O14" s="126"/>
      <c r="P14" s="126"/>
      <c r="Q14" s="126"/>
      <c r="R14" s="126"/>
      <c r="S14" s="126"/>
    </row>
    <row r="15" spans="1:19" ht="15.45" customHeight="1" x14ac:dyDescent="0.2">
      <c r="A15" s="137"/>
      <c r="B15" s="228" t="s">
        <v>878</v>
      </c>
      <c r="C15" s="228"/>
      <c r="D15" s="228"/>
      <c r="E15" s="228"/>
      <c r="F15" s="126"/>
      <c r="G15" s="126"/>
      <c r="H15" s="126"/>
      <c r="I15" s="140" t="s">
        <v>586</v>
      </c>
      <c r="J15" s="126"/>
      <c r="K15" s="126"/>
      <c r="L15" s="126"/>
      <c r="M15" s="126"/>
      <c r="N15" s="126"/>
      <c r="O15" s="126"/>
      <c r="P15" s="126"/>
      <c r="Q15" s="126"/>
      <c r="R15" s="126"/>
      <c r="S15" s="126"/>
    </row>
    <row r="16" spans="1:19" ht="15.45" customHeight="1" x14ac:dyDescent="0.2">
      <c r="A16" s="137"/>
      <c r="B16" s="228" t="s">
        <v>879</v>
      </c>
      <c r="C16" s="228"/>
      <c r="D16" s="228"/>
      <c r="E16" s="228"/>
      <c r="F16" s="126"/>
      <c r="G16" s="126"/>
      <c r="H16" s="141"/>
      <c r="I16" s="126"/>
      <c r="J16" s="126" t="s">
        <v>586</v>
      </c>
      <c r="K16" s="126"/>
      <c r="L16" s="126"/>
      <c r="M16" s="126"/>
      <c r="N16" s="126"/>
      <c r="O16" s="126"/>
      <c r="P16" s="126"/>
      <c r="Q16" s="126"/>
      <c r="R16" s="126"/>
      <c r="S16" s="126"/>
    </row>
    <row r="17" spans="1:19" ht="15.45" customHeight="1" x14ac:dyDescent="0.2">
      <c r="A17" s="137"/>
      <c r="B17" s="228" t="s">
        <v>880</v>
      </c>
      <c r="C17" s="228"/>
      <c r="D17" s="228"/>
      <c r="E17" s="228"/>
      <c r="F17" s="126"/>
      <c r="G17" s="126"/>
      <c r="H17" s="126"/>
      <c r="I17" s="126"/>
      <c r="J17" s="126"/>
      <c r="K17" s="126" t="s">
        <v>586</v>
      </c>
      <c r="L17" s="126"/>
      <c r="M17" s="126"/>
      <c r="N17" s="126"/>
      <c r="O17" s="126"/>
      <c r="P17" s="126"/>
      <c r="Q17" s="126"/>
      <c r="R17" s="126"/>
      <c r="S17" s="126"/>
    </row>
    <row r="18" spans="1:19" ht="28.95" customHeight="1" x14ac:dyDescent="0.2">
      <c r="A18" s="137"/>
      <c r="B18" s="228" t="s">
        <v>881</v>
      </c>
      <c r="C18" s="228"/>
      <c r="D18" s="228"/>
      <c r="E18" s="228"/>
      <c r="F18" s="126"/>
      <c r="G18" s="126"/>
      <c r="H18" s="126"/>
      <c r="I18" s="126"/>
      <c r="J18" s="126"/>
      <c r="K18" s="126"/>
      <c r="L18" s="126" t="s">
        <v>586</v>
      </c>
      <c r="M18" s="126"/>
      <c r="N18" s="126"/>
      <c r="O18" s="126"/>
      <c r="P18" s="126"/>
      <c r="Q18" s="126"/>
      <c r="R18" s="126"/>
      <c r="S18" s="126"/>
    </row>
    <row r="19" spans="1:19" ht="15.45" customHeight="1" x14ac:dyDescent="0.2">
      <c r="A19" s="137"/>
      <c r="B19" s="228" t="s">
        <v>882</v>
      </c>
      <c r="C19" s="228"/>
      <c r="D19" s="228"/>
      <c r="E19" s="228"/>
      <c r="F19" s="126"/>
      <c r="G19" s="126"/>
      <c r="H19" s="126"/>
      <c r="I19" s="126"/>
      <c r="J19" s="126"/>
      <c r="K19" s="126"/>
      <c r="L19" s="126"/>
      <c r="M19" s="126" t="s">
        <v>586</v>
      </c>
      <c r="N19" s="126"/>
      <c r="O19" s="126"/>
      <c r="P19" s="126"/>
      <c r="Q19" s="126"/>
      <c r="R19" s="126"/>
      <c r="S19" s="126"/>
    </row>
    <row r="20" spans="1:19" ht="15.45" customHeight="1" x14ac:dyDescent="0.2">
      <c r="A20" s="137"/>
      <c r="B20" s="228" t="s">
        <v>883</v>
      </c>
      <c r="C20" s="228"/>
      <c r="D20" s="228"/>
      <c r="E20" s="228"/>
      <c r="F20" s="126"/>
      <c r="G20" s="126"/>
      <c r="H20" s="126"/>
      <c r="I20" s="126"/>
      <c r="J20" s="126"/>
      <c r="K20" s="126"/>
      <c r="L20" s="126"/>
      <c r="M20" s="126"/>
      <c r="N20" s="126" t="s">
        <v>586</v>
      </c>
      <c r="O20" s="126"/>
      <c r="P20" s="126"/>
      <c r="Q20" s="126"/>
      <c r="R20" s="126"/>
      <c r="S20" s="126"/>
    </row>
    <row r="21" spans="1:19" ht="28.95" customHeight="1" x14ac:dyDescent="0.2">
      <c r="A21" s="137"/>
      <c r="B21" s="228" t="s">
        <v>884</v>
      </c>
      <c r="C21" s="228"/>
      <c r="D21" s="228"/>
      <c r="E21" s="228"/>
      <c r="F21" s="126"/>
      <c r="G21" s="126"/>
      <c r="H21" s="126"/>
      <c r="I21" s="126"/>
      <c r="J21" s="126"/>
      <c r="K21" s="126"/>
      <c r="L21" s="126"/>
      <c r="M21" s="126"/>
      <c r="N21" s="126"/>
      <c r="O21" s="126" t="s">
        <v>586</v>
      </c>
      <c r="P21" s="126"/>
      <c r="Q21" s="126"/>
      <c r="R21" s="126"/>
      <c r="S21" s="126"/>
    </row>
    <row r="22" spans="1:19" ht="15.45" customHeight="1" x14ac:dyDescent="0.2">
      <c r="A22" s="137"/>
      <c r="B22" s="228" t="s">
        <v>885</v>
      </c>
      <c r="C22" s="228"/>
      <c r="D22" s="228"/>
      <c r="E22" s="228"/>
      <c r="F22" s="126"/>
      <c r="G22" s="126"/>
      <c r="H22" s="126"/>
      <c r="I22" s="126"/>
      <c r="J22" s="126"/>
      <c r="K22" s="141"/>
      <c r="L22" s="126"/>
      <c r="M22" s="126"/>
      <c r="N22" s="126"/>
      <c r="O22" s="126"/>
      <c r="P22" s="126" t="s">
        <v>586</v>
      </c>
      <c r="Q22" s="126"/>
      <c r="R22" s="126"/>
      <c r="S22" s="126"/>
    </row>
    <row r="23" spans="1:19" ht="15.45" customHeight="1" x14ac:dyDescent="0.2">
      <c r="A23" s="137"/>
      <c r="B23" s="228" t="s">
        <v>886</v>
      </c>
      <c r="C23" s="228"/>
      <c r="D23" s="228"/>
      <c r="E23" s="228"/>
      <c r="F23" s="126"/>
      <c r="G23" s="126"/>
      <c r="H23" s="126"/>
      <c r="I23" s="126"/>
      <c r="J23" s="126"/>
      <c r="K23" s="126"/>
      <c r="L23" s="126"/>
      <c r="M23" s="126"/>
      <c r="N23" s="126"/>
      <c r="O23" s="126"/>
      <c r="P23" s="126"/>
      <c r="Q23" s="126" t="s">
        <v>586</v>
      </c>
      <c r="R23" s="126"/>
      <c r="S23" s="126"/>
    </row>
    <row r="24" spans="1:19" ht="15.45" customHeight="1" x14ac:dyDescent="0.2">
      <c r="A24" s="137"/>
      <c r="B24" s="228" t="s">
        <v>887</v>
      </c>
      <c r="C24" s="228"/>
      <c r="D24" s="228"/>
      <c r="E24" s="228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 t="s">
        <v>586</v>
      </c>
      <c r="S24" s="126"/>
    </row>
    <row r="25" spans="1:19" ht="28.95" customHeight="1" x14ac:dyDescent="0.2">
      <c r="A25" s="137"/>
      <c r="B25" s="228" t="s">
        <v>888</v>
      </c>
      <c r="C25" s="228"/>
      <c r="D25" s="228"/>
      <c r="E25" s="228"/>
      <c r="F25" s="141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 t="s">
        <v>586</v>
      </c>
    </row>
    <row r="26" spans="1:19" ht="13.2" customHeight="1" x14ac:dyDescent="0.2">
      <c r="A26" s="137"/>
      <c r="B26" s="138"/>
      <c r="C26" s="143"/>
      <c r="D26" s="148"/>
      <c r="E26" s="135"/>
      <c r="F26" s="126"/>
      <c r="G26" s="126"/>
      <c r="H26" s="126"/>
      <c r="I26" s="126"/>
      <c r="J26" s="126"/>
      <c r="K26" s="126"/>
      <c r="L26" s="140"/>
      <c r="M26" s="126"/>
      <c r="N26" s="126"/>
      <c r="O26" s="126"/>
      <c r="P26" s="126"/>
      <c r="Q26" s="126"/>
      <c r="R26" s="126"/>
      <c r="S26" s="126"/>
    </row>
    <row r="27" spans="1:19" ht="28.95" customHeight="1" x14ac:dyDescent="0.2">
      <c r="A27" s="131" t="s">
        <v>595</v>
      </c>
      <c r="B27" s="146" t="s">
        <v>596</v>
      </c>
      <c r="C27" s="143"/>
      <c r="D27" s="179"/>
      <c r="E27" s="135"/>
      <c r="F27" s="145"/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</row>
    <row r="28" spans="1:19" ht="28.95" customHeight="1" x14ac:dyDescent="0.2">
      <c r="A28" s="137"/>
      <c r="B28" s="228" t="s">
        <v>889</v>
      </c>
      <c r="C28" s="228"/>
      <c r="D28" s="228"/>
      <c r="E28" s="228"/>
      <c r="F28" s="126" t="s">
        <v>586</v>
      </c>
      <c r="G28" s="126"/>
      <c r="H28" s="126"/>
      <c r="I28" s="141"/>
      <c r="J28" s="126"/>
      <c r="K28" s="126"/>
      <c r="L28" s="141"/>
      <c r="M28" s="126"/>
      <c r="N28" s="126"/>
      <c r="O28" s="126"/>
      <c r="P28" s="126"/>
      <c r="Q28" s="126"/>
      <c r="R28" s="126"/>
      <c r="S28" s="126"/>
    </row>
    <row r="29" spans="1:19" ht="28.95" customHeight="1" x14ac:dyDescent="0.2">
      <c r="A29" s="137"/>
      <c r="B29" s="228" t="s">
        <v>890</v>
      </c>
      <c r="C29" s="228"/>
      <c r="D29" s="228"/>
      <c r="E29" s="228"/>
      <c r="F29" s="126"/>
      <c r="G29" s="126" t="s">
        <v>586</v>
      </c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</row>
    <row r="30" spans="1:19" ht="28.95" customHeight="1" x14ac:dyDescent="0.2">
      <c r="A30" s="137"/>
      <c r="B30" s="232" t="s">
        <v>891</v>
      </c>
      <c r="C30" s="232"/>
      <c r="D30" s="232"/>
      <c r="E30" s="232"/>
      <c r="F30" s="126"/>
      <c r="G30" s="126"/>
      <c r="H30" s="126" t="s">
        <v>586</v>
      </c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</row>
    <row r="31" spans="1:19" ht="28.95" customHeight="1" x14ac:dyDescent="0.2">
      <c r="A31" s="137"/>
      <c r="B31" s="228" t="s">
        <v>892</v>
      </c>
      <c r="C31" s="228"/>
      <c r="D31" s="228"/>
      <c r="E31" s="228"/>
      <c r="F31" s="126"/>
      <c r="G31" s="126"/>
      <c r="H31" s="141"/>
      <c r="I31" s="126" t="s">
        <v>586</v>
      </c>
      <c r="J31" s="126"/>
      <c r="K31" s="126"/>
      <c r="L31" s="126"/>
      <c r="M31" s="126"/>
      <c r="N31" s="126"/>
      <c r="O31" s="126"/>
      <c r="P31" s="126"/>
      <c r="Q31" s="126"/>
      <c r="R31" s="126"/>
      <c r="S31" s="126"/>
    </row>
    <row r="32" spans="1:19" ht="28.95" customHeight="1" x14ac:dyDescent="0.2">
      <c r="A32" s="137"/>
      <c r="B32" s="230" t="s">
        <v>893</v>
      </c>
      <c r="C32" s="230"/>
      <c r="D32" s="230"/>
      <c r="E32" s="230"/>
      <c r="F32" s="150"/>
      <c r="G32" s="150"/>
      <c r="H32" s="150"/>
      <c r="I32" s="126"/>
      <c r="J32" s="150" t="s">
        <v>586</v>
      </c>
      <c r="K32" s="150"/>
      <c r="L32" s="150"/>
      <c r="M32" s="126"/>
      <c r="N32" s="126"/>
      <c r="O32" s="150"/>
      <c r="P32" s="150"/>
      <c r="Q32" s="150"/>
      <c r="R32" s="150"/>
      <c r="S32" s="150"/>
    </row>
    <row r="33" spans="1:19" ht="28.95" customHeight="1" x14ac:dyDescent="0.2">
      <c r="A33" s="137"/>
      <c r="B33" s="231" t="s">
        <v>894</v>
      </c>
      <c r="C33" s="231"/>
      <c r="D33" s="231"/>
      <c r="E33" s="231"/>
      <c r="F33" s="152"/>
      <c r="G33" s="152"/>
      <c r="H33" s="152"/>
      <c r="I33" s="153"/>
      <c r="J33" s="152"/>
      <c r="K33" s="152" t="s">
        <v>586</v>
      </c>
      <c r="L33" s="152"/>
      <c r="M33" s="153"/>
      <c r="N33" s="153"/>
      <c r="O33" s="152"/>
      <c r="P33" s="152"/>
      <c r="Q33" s="152"/>
      <c r="R33" s="152"/>
      <c r="S33" s="152"/>
    </row>
    <row r="34" spans="1:19" ht="28.95" customHeight="1" x14ac:dyDescent="0.2">
      <c r="A34" s="137"/>
      <c r="B34" s="231" t="s">
        <v>895</v>
      </c>
      <c r="C34" s="231"/>
      <c r="D34" s="231"/>
      <c r="E34" s="231"/>
      <c r="F34" s="152"/>
      <c r="G34" s="152"/>
      <c r="H34" s="152"/>
      <c r="I34" s="153"/>
      <c r="J34" s="152"/>
      <c r="K34" s="152"/>
      <c r="L34" s="152" t="s">
        <v>586</v>
      </c>
      <c r="M34" s="153"/>
      <c r="N34" s="153"/>
      <c r="O34" s="152"/>
      <c r="P34" s="152"/>
      <c r="Q34" s="152"/>
      <c r="R34" s="152"/>
      <c r="S34" s="152"/>
    </row>
    <row r="35" spans="1:19" ht="28.95" customHeight="1" x14ac:dyDescent="0.2">
      <c r="A35" s="137"/>
      <c r="B35" s="231" t="s">
        <v>896</v>
      </c>
      <c r="C35" s="231"/>
      <c r="D35" s="231"/>
      <c r="E35" s="231"/>
      <c r="F35" s="152"/>
      <c r="G35" s="152"/>
      <c r="H35" s="152"/>
      <c r="I35" s="153"/>
      <c r="J35" s="152"/>
      <c r="K35" s="152"/>
      <c r="L35" s="152"/>
      <c r="M35" s="153" t="s">
        <v>586</v>
      </c>
      <c r="N35" s="153"/>
      <c r="O35" s="152"/>
      <c r="P35" s="152"/>
      <c r="Q35" s="152"/>
      <c r="R35" s="152"/>
      <c r="S35" s="152"/>
    </row>
    <row r="36" spans="1:19" ht="28.95" customHeight="1" x14ac:dyDescent="0.2">
      <c r="A36" s="161"/>
      <c r="B36" s="233" t="s">
        <v>897</v>
      </c>
      <c r="C36" s="233"/>
      <c r="D36" s="233"/>
      <c r="E36" s="233"/>
      <c r="F36" s="153"/>
      <c r="G36" s="153"/>
      <c r="H36" s="153"/>
      <c r="I36" s="153"/>
      <c r="J36" s="153"/>
      <c r="K36" s="153"/>
      <c r="L36" s="153"/>
      <c r="M36" s="153"/>
      <c r="N36" s="153" t="s">
        <v>586</v>
      </c>
      <c r="O36" s="153"/>
      <c r="P36" s="153"/>
      <c r="Q36" s="153"/>
      <c r="R36" s="153"/>
      <c r="S36" s="153"/>
    </row>
    <row r="37" spans="1:19" ht="28.95" customHeight="1" x14ac:dyDescent="0.2">
      <c r="A37" s="163"/>
      <c r="B37" s="234" t="s">
        <v>898</v>
      </c>
      <c r="C37" s="234"/>
      <c r="D37" s="234"/>
      <c r="E37" s="234"/>
      <c r="F37" s="126"/>
      <c r="G37" s="126"/>
      <c r="H37" s="126"/>
      <c r="I37" s="126"/>
      <c r="J37" s="126"/>
      <c r="K37" s="126"/>
      <c r="L37" s="126"/>
      <c r="M37" s="126"/>
      <c r="N37" s="126"/>
      <c r="O37" s="126" t="s">
        <v>586</v>
      </c>
      <c r="P37" s="126"/>
      <c r="Q37" s="126"/>
      <c r="R37" s="126"/>
      <c r="S37" s="126"/>
    </row>
    <row r="38" spans="1:19" ht="28.95" customHeight="1" x14ac:dyDescent="0.2">
      <c r="A38" s="163"/>
      <c r="B38" s="234" t="s">
        <v>899</v>
      </c>
      <c r="C38" s="234"/>
      <c r="D38" s="234"/>
      <c r="E38" s="234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 t="s">
        <v>586</v>
      </c>
      <c r="Q38" s="126"/>
      <c r="R38" s="126"/>
      <c r="S38" s="126"/>
    </row>
    <row r="39" spans="1:19" ht="28.95" customHeight="1" x14ac:dyDescent="0.2">
      <c r="A39" s="163"/>
      <c r="B39" s="234" t="s">
        <v>900</v>
      </c>
      <c r="C39" s="234"/>
      <c r="D39" s="234"/>
      <c r="E39" s="234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 t="s">
        <v>586</v>
      </c>
      <c r="R39" s="126"/>
      <c r="S39" s="126"/>
    </row>
    <row r="40" spans="1:19" ht="28.95" customHeight="1" x14ac:dyDescent="0.2">
      <c r="A40" s="163"/>
      <c r="B40" s="234" t="s">
        <v>901</v>
      </c>
      <c r="C40" s="234"/>
      <c r="D40" s="234"/>
      <c r="E40" s="234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 t="s">
        <v>586</v>
      </c>
      <c r="S40" s="126"/>
    </row>
    <row r="41" spans="1:19" ht="42.45" customHeight="1" x14ac:dyDescent="0.2">
      <c r="A41" s="163"/>
      <c r="B41" s="234" t="s">
        <v>902</v>
      </c>
      <c r="C41" s="234"/>
      <c r="D41" s="234"/>
      <c r="E41" s="234"/>
      <c r="F41" s="126"/>
      <c r="G41" s="126"/>
      <c r="H41" s="126"/>
      <c r="I41" s="126"/>
      <c r="J41" s="126"/>
      <c r="K41" s="126"/>
      <c r="L41" s="126"/>
      <c r="M41" s="126"/>
      <c r="N41" s="126"/>
      <c r="O41" s="126"/>
      <c r="P41" s="126"/>
      <c r="Q41" s="126"/>
      <c r="R41" s="126"/>
      <c r="S41" s="126" t="s">
        <v>586</v>
      </c>
    </row>
    <row r="42" spans="1:19" ht="14.25" customHeight="1" x14ac:dyDescent="0.2">
      <c r="A42" s="163"/>
      <c r="B42" s="164"/>
      <c r="C42" s="142"/>
      <c r="D42" s="142"/>
      <c r="E42" s="142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</row>
    <row r="43" spans="1:19" ht="15.45" customHeight="1" x14ac:dyDescent="0.25">
      <c r="A43" s="131" t="s">
        <v>564</v>
      </c>
      <c r="B43" s="234" t="s">
        <v>605</v>
      </c>
      <c r="C43" s="234"/>
      <c r="D43" s="234"/>
      <c r="E43" s="181"/>
      <c r="F43" s="126" t="s">
        <v>554</v>
      </c>
      <c r="G43" s="126" t="s">
        <v>554</v>
      </c>
      <c r="H43" s="126" t="s">
        <v>555</v>
      </c>
      <c r="I43" s="126" t="s">
        <v>554</v>
      </c>
      <c r="J43" s="126" t="s">
        <v>554</v>
      </c>
      <c r="K43" s="126" t="s">
        <v>554</v>
      </c>
      <c r="L43" s="126" t="s">
        <v>554</v>
      </c>
      <c r="M43" s="126" t="s">
        <v>554</v>
      </c>
      <c r="N43" s="126" t="s">
        <v>555</v>
      </c>
      <c r="O43" s="126" t="s">
        <v>556</v>
      </c>
      <c r="P43" s="126" t="s">
        <v>554</v>
      </c>
      <c r="Q43" s="126" t="s">
        <v>555</v>
      </c>
      <c r="R43" s="126" t="s">
        <v>554</v>
      </c>
      <c r="S43" s="126" t="s">
        <v>554</v>
      </c>
    </row>
    <row r="44" spans="1:19" ht="15.45" customHeight="1" x14ac:dyDescent="0.2">
      <c r="A44" s="163"/>
      <c r="B44" s="234" t="s">
        <v>606</v>
      </c>
      <c r="C44" s="234"/>
      <c r="D44" s="234"/>
      <c r="E44" s="142"/>
      <c r="F44" s="126" t="s">
        <v>607</v>
      </c>
      <c r="G44" s="141" t="s">
        <v>607</v>
      </c>
      <c r="H44" s="126" t="s">
        <v>607</v>
      </c>
      <c r="I44" s="126" t="s">
        <v>607</v>
      </c>
      <c r="J44" s="126" t="s">
        <v>607</v>
      </c>
      <c r="K44" s="126" t="s">
        <v>607</v>
      </c>
      <c r="L44" s="126" t="s">
        <v>757</v>
      </c>
      <c r="M44" s="126" t="s">
        <v>607</v>
      </c>
      <c r="N44" s="126" t="s">
        <v>607</v>
      </c>
      <c r="O44" s="126" t="s">
        <v>607</v>
      </c>
      <c r="P44" s="126" t="s">
        <v>607</v>
      </c>
      <c r="Q44" s="126" t="s">
        <v>607</v>
      </c>
      <c r="R44" s="126" t="s">
        <v>607</v>
      </c>
      <c r="S44" s="126" t="s">
        <v>607</v>
      </c>
    </row>
    <row r="45" spans="1:19" ht="28.95" customHeight="1" x14ac:dyDescent="0.2">
      <c r="A45" s="163"/>
      <c r="B45" s="234" t="s">
        <v>608</v>
      </c>
      <c r="C45" s="234"/>
      <c r="D45" s="234"/>
      <c r="E45" s="142"/>
      <c r="F45" s="126" t="s">
        <v>609</v>
      </c>
      <c r="G45" s="141" t="s">
        <v>609</v>
      </c>
      <c r="H45" s="126" t="s">
        <v>609</v>
      </c>
      <c r="I45" s="126" t="s">
        <v>609</v>
      </c>
      <c r="J45" s="126" t="s">
        <v>609</v>
      </c>
      <c r="K45" s="126" t="s">
        <v>609</v>
      </c>
      <c r="L45" s="126" t="s">
        <v>609</v>
      </c>
      <c r="M45" s="126" t="s">
        <v>609</v>
      </c>
      <c r="N45" s="126" t="s">
        <v>609</v>
      </c>
      <c r="O45" s="126" t="s">
        <v>609</v>
      </c>
      <c r="P45" s="126" t="s">
        <v>609</v>
      </c>
      <c r="Q45" s="126" t="s">
        <v>609</v>
      </c>
      <c r="R45" s="126" t="s">
        <v>609</v>
      </c>
      <c r="S45" s="126" t="s">
        <v>609</v>
      </c>
    </row>
    <row r="46" spans="1:19" ht="15.45" customHeight="1" x14ac:dyDescent="0.2">
      <c r="A46" s="163"/>
      <c r="B46" s="228" t="s">
        <v>610</v>
      </c>
      <c r="C46" s="228"/>
      <c r="D46" s="228"/>
      <c r="E46" s="177"/>
      <c r="F46" s="126"/>
      <c r="G46" s="141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</row>
  </sheetData>
  <autoFilter ref="F9:S46" xr:uid="{00000000-0009-0000-0000-00000A000000}"/>
  <mergeCells count="55">
    <mergeCell ref="B45:D45"/>
    <mergeCell ref="B46:D46"/>
    <mergeCell ref="B39:E39"/>
    <mergeCell ref="B40:E40"/>
    <mergeCell ref="B41:E41"/>
    <mergeCell ref="B43:D43"/>
    <mergeCell ref="B44:D44"/>
    <mergeCell ref="B34:E34"/>
    <mergeCell ref="B35:E35"/>
    <mergeCell ref="B36:E36"/>
    <mergeCell ref="B37:E37"/>
    <mergeCell ref="B38:E38"/>
    <mergeCell ref="B29:E29"/>
    <mergeCell ref="B30:E30"/>
    <mergeCell ref="B31:E31"/>
    <mergeCell ref="B32:E32"/>
    <mergeCell ref="B33:E33"/>
    <mergeCell ref="B22:E22"/>
    <mergeCell ref="B23:E23"/>
    <mergeCell ref="B24:E24"/>
    <mergeCell ref="B25:E25"/>
    <mergeCell ref="B28:E28"/>
    <mergeCell ref="B17:E17"/>
    <mergeCell ref="B18:E18"/>
    <mergeCell ref="B19:E19"/>
    <mergeCell ref="B20:E20"/>
    <mergeCell ref="B21:E21"/>
    <mergeCell ref="B12:E12"/>
    <mergeCell ref="B13:E13"/>
    <mergeCell ref="B14:E14"/>
    <mergeCell ref="B15:E15"/>
    <mergeCell ref="B16:E16"/>
    <mergeCell ref="A7:B7"/>
    <mergeCell ref="C7:E7"/>
    <mergeCell ref="F7:K7"/>
    <mergeCell ref="O7:S7"/>
    <mergeCell ref="B11:E11"/>
    <mergeCell ref="A6:B6"/>
    <mergeCell ref="C6:E6"/>
    <mergeCell ref="F6:K6"/>
    <mergeCell ref="L6:N6"/>
    <mergeCell ref="O6:S6"/>
    <mergeCell ref="A4:E4"/>
    <mergeCell ref="F4:K4"/>
    <mergeCell ref="L4:S4"/>
    <mergeCell ref="A5:B5"/>
    <mergeCell ref="C5:S5"/>
    <mergeCell ref="A2:B2"/>
    <mergeCell ref="C2:E2"/>
    <mergeCell ref="F2:K2"/>
    <mergeCell ref="L2:S2"/>
    <mergeCell ref="A3:B3"/>
    <mergeCell ref="C3:E3"/>
    <mergeCell ref="F3:K3"/>
    <mergeCell ref="L3:S3"/>
  </mergeCells>
  <pageMargins left="0.25" right="0.25" top="1" bottom="1" header="0.5" footer="0.5"/>
  <pageSetup fitToHeight="0" orientation="portrait" useFirstPageNumber="1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A62"/>
  <sheetViews>
    <sheetView zoomScale="85" zoomScaleNormal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3.5" customHeight="1" x14ac:dyDescent="0.2"/>
  <cols>
    <col min="1" max="1" width="11" customWidth="1"/>
    <col min="2" max="2" width="15" customWidth="1"/>
    <col min="3" max="3" width="20" customWidth="1"/>
    <col min="4" max="5" width="13" customWidth="1"/>
    <col min="6" max="6" width="10" customWidth="1"/>
    <col min="7" max="27" width="13" customWidth="1"/>
    <col min="28" max="90" width="8.33203125" customWidth="1"/>
  </cols>
  <sheetData>
    <row r="1" spans="1:27" ht="13.5" customHeight="1" x14ac:dyDescent="0.2">
      <c r="A1" s="121"/>
      <c r="B1" s="122"/>
      <c r="C1" s="123"/>
      <c r="D1" s="123"/>
      <c r="E1" s="123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</row>
    <row r="2" spans="1:27" ht="27.9" customHeight="1" x14ac:dyDescent="0.2">
      <c r="A2" s="221" t="s">
        <v>568</v>
      </c>
      <c r="B2" s="221"/>
      <c r="C2" s="222" t="s">
        <v>121</v>
      </c>
      <c r="D2" s="222"/>
      <c r="E2" s="222"/>
      <c r="F2" s="223" t="s">
        <v>78</v>
      </c>
      <c r="G2" s="223"/>
      <c r="H2" s="223"/>
      <c r="I2" s="223"/>
      <c r="J2" s="223"/>
      <c r="K2" s="223"/>
      <c r="L2" s="224" t="str">
        <f>FunctionList!D18</f>
        <v>See the per-case source map in the evidence document</v>
      </c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4"/>
      <c r="Z2" s="224"/>
      <c r="AA2" s="224"/>
    </row>
    <row r="3" spans="1:27" ht="27.9" customHeight="1" x14ac:dyDescent="0.2">
      <c r="A3" s="221" t="s">
        <v>569</v>
      </c>
      <c r="B3" s="221"/>
      <c r="C3" s="222" t="s">
        <v>49</v>
      </c>
      <c r="D3" s="222"/>
      <c r="E3" s="222"/>
      <c r="F3" s="223" t="s">
        <v>570</v>
      </c>
      <c r="G3" s="223"/>
      <c r="H3" s="223"/>
      <c r="I3" s="223"/>
      <c r="J3" s="223"/>
      <c r="K3" s="223"/>
      <c r="L3" s="225"/>
      <c r="M3" s="225"/>
      <c r="N3" s="225"/>
      <c r="O3" s="225"/>
      <c r="P3" s="225"/>
      <c r="Q3" s="225"/>
      <c r="R3" s="225"/>
      <c r="S3" s="225"/>
      <c r="T3" s="225"/>
      <c r="U3" s="225"/>
      <c r="V3" s="225"/>
      <c r="W3" s="225"/>
      <c r="X3" s="225"/>
      <c r="Y3" s="225"/>
      <c r="Z3" s="225"/>
      <c r="AA3" s="225"/>
    </row>
    <row r="4" spans="1:27" ht="27.9" customHeight="1" x14ac:dyDescent="0.2">
      <c r="A4" s="221" t="s">
        <v>571</v>
      </c>
      <c r="B4" s="221"/>
      <c r="C4" s="221"/>
      <c r="D4" s="221"/>
      <c r="E4" s="221"/>
      <c r="F4" s="223" t="s">
        <v>572</v>
      </c>
      <c r="G4" s="223"/>
      <c r="H4" s="223"/>
      <c r="I4" s="223"/>
      <c r="J4" s="223"/>
      <c r="K4" s="223"/>
      <c r="L4" s="226">
        <f>IF(ISNUMBER(FunctionList!E6),MAX(0,ROUNDUP(C4*FunctionList!E6/1000,0)-O7),"N/A")</f>
        <v>0</v>
      </c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  <c r="X4" s="226"/>
      <c r="Y4" s="226"/>
      <c r="Z4" s="226"/>
      <c r="AA4" s="226"/>
    </row>
    <row r="5" spans="1:27" ht="63.9" customHeight="1" x14ac:dyDescent="0.2">
      <c r="A5" s="221" t="s">
        <v>573</v>
      </c>
      <c r="B5" s="221"/>
      <c r="C5" s="227" t="s">
        <v>903</v>
      </c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7"/>
      <c r="X5" s="227"/>
      <c r="Y5" s="227"/>
      <c r="Z5" s="227"/>
      <c r="AA5" s="227"/>
    </row>
    <row r="6" spans="1:27" ht="27.9" customHeight="1" x14ac:dyDescent="0.2">
      <c r="A6" s="223" t="s">
        <v>551</v>
      </c>
      <c r="B6" s="223"/>
      <c r="C6" s="223" t="s">
        <v>552</v>
      </c>
      <c r="D6" s="223"/>
      <c r="E6" s="223"/>
      <c r="F6" s="223" t="s">
        <v>553</v>
      </c>
      <c r="G6" s="223"/>
      <c r="H6" s="223"/>
      <c r="I6" s="223"/>
      <c r="J6" s="223"/>
      <c r="K6" s="223"/>
      <c r="L6" s="223" t="s">
        <v>575</v>
      </c>
      <c r="M6" s="223"/>
      <c r="N6" s="223"/>
      <c r="O6" s="223" t="s">
        <v>557</v>
      </c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</row>
    <row r="7" spans="1:27" ht="27.9" customHeight="1" x14ac:dyDescent="0.2">
      <c r="A7" s="226">
        <f>COUNTIF(F60:AA60,"P")</f>
        <v>22</v>
      </c>
      <c r="B7" s="226"/>
      <c r="C7" s="226">
        <f>COUNTIF(F60:AA60,"F")</f>
        <v>0</v>
      </c>
      <c r="D7" s="226"/>
      <c r="E7" s="226"/>
      <c r="F7" s="226">
        <f>O7-A7-C7</f>
        <v>0</v>
      </c>
      <c r="G7" s="226"/>
      <c r="H7" s="226"/>
      <c r="I7" s="226"/>
      <c r="J7" s="226"/>
      <c r="K7" s="226"/>
      <c r="L7" s="126">
        <f>COUNTIF(F59:AA59,"N")</f>
        <v>16</v>
      </c>
      <c r="M7" s="126">
        <f>COUNTIF(F59:AA59,"A")</f>
        <v>6</v>
      </c>
      <c r="N7" s="126">
        <f>COUNTIF(F59:AA59,"B")</f>
        <v>0</v>
      </c>
      <c r="O7" s="226">
        <f>COUNTA(F9:AA9)</f>
        <v>22</v>
      </c>
      <c r="P7" s="226"/>
      <c r="Q7" s="226"/>
      <c r="R7" s="226"/>
      <c r="S7" s="226"/>
      <c r="T7" s="226"/>
      <c r="U7" s="226"/>
      <c r="V7" s="226"/>
      <c r="W7" s="226"/>
      <c r="X7" s="226"/>
      <c r="Y7" s="226"/>
      <c r="Z7" s="226"/>
      <c r="AA7" s="226"/>
    </row>
    <row r="8" spans="1:27" ht="13.5" customHeight="1" x14ac:dyDescent="0.2">
      <c r="A8" s="123"/>
      <c r="B8" s="127"/>
      <c r="C8" s="123"/>
      <c r="D8" s="123"/>
      <c r="E8" s="123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4"/>
      <c r="R8" s="124"/>
      <c r="S8" s="124"/>
      <c r="T8" s="124"/>
      <c r="U8" s="124"/>
      <c r="V8" s="124"/>
      <c r="W8" s="124"/>
      <c r="X8" s="124"/>
      <c r="Y8" s="124"/>
      <c r="Z8" s="124"/>
      <c r="AA8" s="124"/>
    </row>
    <row r="9" spans="1:27" ht="42" customHeight="1" x14ac:dyDescent="0.2">
      <c r="A9" s="128"/>
      <c r="B9" s="129"/>
      <c r="C9" s="129"/>
      <c r="D9" s="129"/>
      <c r="E9" s="129"/>
      <c r="F9" s="130" t="s">
        <v>576</v>
      </c>
      <c r="G9" s="130" t="s">
        <v>577</v>
      </c>
      <c r="H9" s="130" t="s">
        <v>578</v>
      </c>
      <c r="I9" s="130" t="s">
        <v>579</v>
      </c>
      <c r="J9" s="130" t="s">
        <v>580</v>
      </c>
      <c r="K9" s="130" t="s">
        <v>581</v>
      </c>
      <c r="L9" s="130" t="s">
        <v>582</v>
      </c>
      <c r="M9" s="130" t="s">
        <v>583</v>
      </c>
      <c r="N9" s="130" t="s">
        <v>612</v>
      </c>
      <c r="O9" s="130" t="s">
        <v>613</v>
      </c>
      <c r="P9" s="130" t="s">
        <v>614</v>
      </c>
      <c r="Q9" s="130" t="s">
        <v>615</v>
      </c>
      <c r="R9" s="130" t="s">
        <v>616</v>
      </c>
      <c r="S9" s="130" t="s">
        <v>617</v>
      </c>
      <c r="T9" s="130" t="s">
        <v>618</v>
      </c>
      <c r="U9" s="130" t="s">
        <v>619</v>
      </c>
      <c r="V9" s="130" t="s">
        <v>620</v>
      </c>
      <c r="W9" s="130" t="s">
        <v>621</v>
      </c>
      <c r="X9" s="130" t="s">
        <v>622</v>
      </c>
      <c r="Y9" s="130" t="s">
        <v>623</v>
      </c>
      <c r="Z9" s="130" t="s">
        <v>624</v>
      </c>
      <c r="AA9" s="130" t="s">
        <v>625</v>
      </c>
    </row>
    <row r="10" spans="1:27" ht="15.45" customHeight="1" x14ac:dyDescent="0.2">
      <c r="A10" s="131" t="s">
        <v>584</v>
      </c>
      <c r="B10" s="132" t="s">
        <v>585</v>
      </c>
      <c r="C10" s="133"/>
      <c r="D10" s="134"/>
      <c r="E10" s="135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  <c r="R10" s="136"/>
      <c r="S10" s="136"/>
      <c r="T10" s="154"/>
      <c r="U10" s="154"/>
      <c r="V10" s="154"/>
      <c r="W10" s="154"/>
      <c r="X10" s="154"/>
      <c r="Y10" s="154"/>
      <c r="Z10" s="154"/>
      <c r="AA10" s="154"/>
    </row>
    <row r="11" spans="1:27" ht="42.45" customHeight="1" x14ac:dyDescent="0.2">
      <c r="A11" s="137"/>
      <c r="B11" s="228" t="s">
        <v>123</v>
      </c>
      <c r="C11" s="228"/>
      <c r="D11" s="228"/>
      <c r="E11" s="228"/>
      <c r="F11" s="126" t="s">
        <v>586</v>
      </c>
      <c r="G11" s="126" t="s">
        <v>586</v>
      </c>
      <c r="H11" s="126" t="s">
        <v>586</v>
      </c>
      <c r="I11" s="126" t="s">
        <v>586</v>
      </c>
      <c r="J11" s="126" t="s">
        <v>586</v>
      </c>
      <c r="K11" s="126" t="s">
        <v>586</v>
      </c>
      <c r="L11" s="126" t="s">
        <v>586</v>
      </c>
      <c r="M11" s="126" t="s">
        <v>586</v>
      </c>
      <c r="N11" s="126" t="s">
        <v>586</v>
      </c>
      <c r="O11" s="126" t="s">
        <v>586</v>
      </c>
      <c r="P11" s="126" t="s">
        <v>586</v>
      </c>
      <c r="Q11" s="126" t="s">
        <v>586</v>
      </c>
      <c r="R11" s="126" t="s">
        <v>586</v>
      </c>
      <c r="S11" s="126" t="s">
        <v>586</v>
      </c>
      <c r="T11" s="155" t="s">
        <v>586</v>
      </c>
      <c r="U11" s="155" t="s">
        <v>586</v>
      </c>
      <c r="V11" s="155" t="s">
        <v>586</v>
      </c>
      <c r="W11" s="155" t="s">
        <v>586</v>
      </c>
      <c r="X11" s="155" t="s">
        <v>586</v>
      </c>
      <c r="Y11" s="155" t="s">
        <v>586</v>
      </c>
      <c r="Z11" s="155" t="s">
        <v>586</v>
      </c>
      <c r="AA11" s="155" t="s">
        <v>586</v>
      </c>
    </row>
    <row r="12" spans="1:27" ht="15.45" customHeight="1" x14ac:dyDescent="0.2">
      <c r="A12" s="137"/>
      <c r="B12" s="228" t="s">
        <v>904</v>
      </c>
      <c r="C12" s="228"/>
      <c r="D12" s="228"/>
      <c r="E12" s="228"/>
      <c r="F12" s="126" t="s">
        <v>586</v>
      </c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  <c r="R12" s="126"/>
      <c r="S12" s="126"/>
      <c r="T12" s="155"/>
      <c r="U12" s="155"/>
      <c r="V12" s="155"/>
      <c r="W12" s="155"/>
      <c r="X12" s="155"/>
      <c r="Y12" s="155"/>
      <c r="Z12" s="155"/>
      <c r="AA12" s="155"/>
    </row>
    <row r="13" spans="1:27" ht="15.45" customHeight="1" x14ac:dyDescent="0.2">
      <c r="A13" s="137"/>
      <c r="B13" s="228" t="s">
        <v>905</v>
      </c>
      <c r="C13" s="228"/>
      <c r="D13" s="228"/>
      <c r="E13" s="228"/>
      <c r="F13" s="126"/>
      <c r="G13" s="126" t="s">
        <v>586</v>
      </c>
      <c r="H13" s="126"/>
      <c r="I13" s="126"/>
      <c r="J13" s="126"/>
      <c r="K13" s="126"/>
      <c r="L13" s="126"/>
      <c r="M13" s="126"/>
      <c r="N13" s="126"/>
      <c r="O13" s="126"/>
      <c r="P13" s="126"/>
      <c r="Q13" s="126"/>
      <c r="R13" s="126"/>
      <c r="S13" s="126"/>
      <c r="T13" s="155"/>
      <c r="U13" s="155"/>
      <c r="V13" s="155"/>
      <c r="W13" s="155"/>
      <c r="X13" s="155"/>
      <c r="Y13" s="155"/>
      <c r="Z13" s="155"/>
      <c r="AA13" s="155"/>
    </row>
    <row r="14" spans="1:27" ht="15.45" customHeight="1" x14ac:dyDescent="0.2">
      <c r="A14" s="137"/>
      <c r="B14" s="228" t="s">
        <v>906</v>
      </c>
      <c r="C14" s="228"/>
      <c r="D14" s="228"/>
      <c r="E14" s="228"/>
      <c r="F14" s="126"/>
      <c r="G14" s="126"/>
      <c r="H14" s="139" t="s">
        <v>586</v>
      </c>
      <c r="I14" s="126"/>
      <c r="J14" s="126"/>
      <c r="K14" s="126"/>
      <c r="L14" s="126"/>
      <c r="M14" s="126"/>
      <c r="N14" s="126"/>
      <c r="O14" s="126"/>
      <c r="P14" s="126"/>
      <c r="Q14" s="126"/>
      <c r="R14" s="126"/>
      <c r="S14" s="126"/>
      <c r="T14" s="155"/>
      <c r="U14" s="155"/>
      <c r="V14" s="155"/>
      <c r="W14" s="155"/>
      <c r="X14" s="155"/>
      <c r="Y14" s="155"/>
      <c r="Z14" s="155"/>
      <c r="AA14" s="155"/>
    </row>
    <row r="15" spans="1:27" ht="15.45" customHeight="1" x14ac:dyDescent="0.2">
      <c r="A15" s="137"/>
      <c r="B15" s="228" t="s">
        <v>907</v>
      </c>
      <c r="C15" s="228"/>
      <c r="D15" s="228"/>
      <c r="E15" s="228"/>
      <c r="F15" s="126"/>
      <c r="G15" s="126"/>
      <c r="H15" s="126"/>
      <c r="I15" s="140" t="s">
        <v>586</v>
      </c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55"/>
      <c r="U15" s="155"/>
      <c r="V15" s="155"/>
      <c r="W15" s="155"/>
      <c r="X15" s="155"/>
      <c r="Y15" s="155"/>
      <c r="Z15" s="155"/>
      <c r="AA15" s="155"/>
    </row>
    <row r="16" spans="1:27" ht="15.45" customHeight="1" x14ac:dyDescent="0.2">
      <c r="A16" s="137"/>
      <c r="B16" s="228" t="s">
        <v>908</v>
      </c>
      <c r="C16" s="228"/>
      <c r="D16" s="228"/>
      <c r="E16" s="228"/>
      <c r="F16" s="126"/>
      <c r="G16" s="126"/>
      <c r="H16" s="141"/>
      <c r="I16" s="126"/>
      <c r="J16" s="126" t="s">
        <v>586</v>
      </c>
      <c r="K16" s="126"/>
      <c r="L16" s="126"/>
      <c r="M16" s="126"/>
      <c r="N16" s="126"/>
      <c r="O16" s="126"/>
      <c r="P16" s="126"/>
      <c r="Q16" s="126"/>
      <c r="R16" s="126"/>
      <c r="S16" s="126"/>
      <c r="T16" s="155"/>
      <c r="U16" s="155"/>
      <c r="V16" s="155"/>
      <c r="W16" s="155"/>
      <c r="X16" s="155"/>
      <c r="Y16" s="155"/>
      <c r="Z16" s="155"/>
      <c r="AA16" s="155"/>
    </row>
    <row r="17" spans="1:27" ht="15.45" customHeight="1" x14ac:dyDescent="0.2">
      <c r="A17" s="137"/>
      <c r="B17" s="228" t="s">
        <v>909</v>
      </c>
      <c r="C17" s="228"/>
      <c r="D17" s="228"/>
      <c r="E17" s="228"/>
      <c r="F17" s="126"/>
      <c r="G17" s="126"/>
      <c r="H17" s="126"/>
      <c r="I17" s="126"/>
      <c r="J17" s="126"/>
      <c r="K17" s="126" t="s">
        <v>586</v>
      </c>
      <c r="L17" s="126"/>
      <c r="M17" s="126"/>
      <c r="N17" s="126"/>
      <c r="O17" s="126"/>
      <c r="P17" s="126"/>
      <c r="Q17" s="126"/>
      <c r="R17" s="126"/>
      <c r="S17" s="126"/>
      <c r="T17" s="155"/>
      <c r="U17" s="155"/>
      <c r="V17" s="155"/>
      <c r="W17" s="155"/>
      <c r="X17" s="155"/>
      <c r="Y17" s="155"/>
      <c r="Z17" s="155"/>
      <c r="AA17" s="155"/>
    </row>
    <row r="18" spans="1:27" ht="15.45" customHeight="1" x14ac:dyDescent="0.2">
      <c r="A18" s="137"/>
      <c r="B18" s="228" t="s">
        <v>910</v>
      </c>
      <c r="C18" s="228"/>
      <c r="D18" s="228"/>
      <c r="E18" s="228"/>
      <c r="F18" s="126"/>
      <c r="G18" s="126"/>
      <c r="H18" s="126"/>
      <c r="I18" s="126"/>
      <c r="J18" s="126"/>
      <c r="K18" s="126"/>
      <c r="L18" s="126" t="s">
        <v>586</v>
      </c>
      <c r="M18" s="126"/>
      <c r="N18" s="126"/>
      <c r="O18" s="126"/>
      <c r="P18" s="126"/>
      <c r="Q18" s="126"/>
      <c r="R18" s="126"/>
      <c r="S18" s="126"/>
      <c r="T18" s="155"/>
      <c r="U18" s="155"/>
      <c r="V18" s="155"/>
      <c r="W18" s="155"/>
      <c r="X18" s="155"/>
      <c r="Y18" s="155"/>
      <c r="Z18" s="155"/>
      <c r="AA18" s="155"/>
    </row>
    <row r="19" spans="1:27" ht="28.95" customHeight="1" x14ac:dyDescent="0.2">
      <c r="A19" s="137"/>
      <c r="B19" s="228" t="s">
        <v>911</v>
      </c>
      <c r="C19" s="228"/>
      <c r="D19" s="228"/>
      <c r="E19" s="228"/>
      <c r="F19" s="126"/>
      <c r="G19" s="126"/>
      <c r="H19" s="126"/>
      <c r="I19" s="126"/>
      <c r="J19" s="126"/>
      <c r="K19" s="126"/>
      <c r="L19" s="126"/>
      <c r="M19" s="126" t="s">
        <v>586</v>
      </c>
      <c r="N19" s="126"/>
      <c r="O19" s="126"/>
      <c r="P19" s="126"/>
      <c r="Q19" s="126"/>
      <c r="R19" s="126"/>
      <c r="S19" s="126"/>
      <c r="T19" s="155"/>
      <c r="U19" s="155"/>
      <c r="V19" s="155"/>
      <c r="W19" s="155"/>
      <c r="X19" s="155"/>
      <c r="Y19" s="155"/>
      <c r="Z19" s="155"/>
      <c r="AA19" s="155"/>
    </row>
    <row r="20" spans="1:27" ht="15.45" customHeight="1" x14ac:dyDescent="0.2">
      <c r="A20" s="137"/>
      <c r="B20" s="228" t="s">
        <v>912</v>
      </c>
      <c r="C20" s="228"/>
      <c r="D20" s="228"/>
      <c r="E20" s="228"/>
      <c r="F20" s="126"/>
      <c r="G20" s="126"/>
      <c r="H20" s="126"/>
      <c r="I20" s="126"/>
      <c r="J20" s="126"/>
      <c r="K20" s="126"/>
      <c r="L20" s="126"/>
      <c r="M20" s="126"/>
      <c r="N20" s="126" t="s">
        <v>586</v>
      </c>
      <c r="O20" s="126"/>
      <c r="P20" s="126"/>
      <c r="Q20" s="126"/>
      <c r="R20" s="126"/>
      <c r="S20" s="126"/>
      <c r="T20" s="155"/>
      <c r="U20" s="155"/>
      <c r="V20" s="155"/>
      <c r="W20" s="155"/>
      <c r="X20" s="155"/>
      <c r="Y20" s="155"/>
      <c r="Z20" s="155"/>
      <c r="AA20" s="155"/>
    </row>
    <row r="21" spans="1:27" ht="15.45" customHeight="1" x14ac:dyDescent="0.2">
      <c r="A21" s="137"/>
      <c r="B21" s="228" t="s">
        <v>913</v>
      </c>
      <c r="C21" s="228"/>
      <c r="D21" s="228"/>
      <c r="E21" s="228"/>
      <c r="F21" s="126"/>
      <c r="G21" s="126"/>
      <c r="H21" s="126"/>
      <c r="I21" s="126"/>
      <c r="J21" s="126"/>
      <c r="K21" s="126"/>
      <c r="L21" s="126"/>
      <c r="M21" s="126"/>
      <c r="N21" s="126"/>
      <c r="O21" s="126" t="s">
        <v>586</v>
      </c>
      <c r="P21" s="126"/>
      <c r="Q21" s="126"/>
      <c r="R21" s="126"/>
      <c r="S21" s="126"/>
      <c r="T21" s="155"/>
      <c r="U21" s="155"/>
      <c r="V21" s="155"/>
      <c r="W21" s="155"/>
      <c r="X21" s="155"/>
      <c r="Y21" s="155"/>
      <c r="Z21" s="155"/>
      <c r="AA21" s="155"/>
    </row>
    <row r="22" spans="1:27" ht="15.45" customHeight="1" x14ac:dyDescent="0.2">
      <c r="A22" s="137"/>
      <c r="B22" s="228" t="s">
        <v>914</v>
      </c>
      <c r="C22" s="228"/>
      <c r="D22" s="228"/>
      <c r="E22" s="228"/>
      <c r="F22" s="126"/>
      <c r="G22" s="126"/>
      <c r="H22" s="126"/>
      <c r="I22" s="126"/>
      <c r="J22" s="126"/>
      <c r="K22" s="141"/>
      <c r="L22" s="126"/>
      <c r="M22" s="126"/>
      <c r="N22" s="126"/>
      <c r="O22" s="126"/>
      <c r="P22" s="126" t="s">
        <v>586</v>
      </c>
      <c r="Q22" s="126"/>
      <c r="R22" s="126"/>
      <c r="S22" s="126"/>
      <c r="T22" s="155"/>
      <c r="U22" s="155"/>
      <c r="V22" s="155"/>
      <c r="W22" s="155"/>
      <c r="X22" s="155"/>
      <c r="Y22" s="155"/>
      <c r="Z22" s="155"/>
      <c r="AA22" s="155"/>
    </row>
    <row r="23" spans="1:27" ht="28.95" customHeight="1" x14ac:dyDescent="0.2">
      <c r="A23" s="137"/>
      <c r="B23" s="228" t="s">
        <v>915</v>
      </c>
      <c r="C23" s="228"/>
      <c r="D23" s="228"/>
      <c r="E23" s="228"/>
      <c r="F23" s="126"/>
      <c r="G23" s="126"/>
      <c r="H23" s="126"/>
      <c r="I23" s="126"/>
      <c r="J23" s="126"/>
      <c r="K23" s="126"/>
      <c r="L23" s="126"/>
      <c r="M23" s="126"/>
      <c r="N23" s="126"/>
      <c r="O23" s="126"/>
      <c r="P23" s="126"/>
      <c r="Q23" s="126" t="s">
        <v>586</v>
      </c>
      <c r="R23" s="126"/>
      <c r="S23" s="126"/>
      <c r="T23" s="155"/>
      <c r="U23" s="155"/>
      <c r="V23" s="155"/>
      <c r="W23" s="155"/>
      <c r="X23" s="155"/>
      <c r="Y23" s="155"/>
      <c r="Z23" s="155"/>
      <c r="AA23" s="155"/>
    </row>
    <row r="24" spans="1:27" ht="15.45" customHeight="1" x14ac:dyDescent="0.2">
      <c r="A24" s="137"/>
      <c r="B24" s="228" t="s">
        <v>916</v>
      </c>
      <c r="C24" s="228"/>
      <c r="D24" s="228"/>
      <c r="E24" s="228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 t="s">
        <v>586</v>
      </c>
      <c r="S24" s="126"/>
      <c r="T24" s="155"/>
      <c r="U24" s="155"/>
      <c r="V24" s="155"/>
      <c r="W24" s="155"/>
      <c r="X24" s="155"/>
      <c r="Y24" s="155"/>
      <c r="Z24" s="155"/>
      <c r="AA24" s="155"/>
    </row>
    <row r="25" spans="1:27" ht="28.95" customHeight="1" x14ac:dyDescent="0.2">
      <c r="A25" s="137"/>
      <c r="B25" s="228" t="s">
        <v>917</v>
      </c>
      <c r="C25" s="228"/>
      <c r="D25" s="228"/>
      <c r="E25" s="228"/>
      <c r="F25" s="141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 t="s">
        <v>586</v>
      </c>
      <c r="T25" s="155"/>
      <c r="U25" s="155"/>
      <c r="V25" s="155"/>
      <c r="W25" s="155"/>
      <c r="X25" s="155"/>
      <c r="Y25" s="155"/>
      <c r="Z25" s="155"/>
      <c r="AA25" s="155"/>
    </row>
    <row r="26" spans="1:27" ht="28.95" customHeight="1" x14ac:dyDescent="0.2">
      <c r="A26" s="137"/>
      <c r="B26" s="228" t="s">
        <v>918</v>
      </c>
      <c r="C26" s="228"/>
      <c r="D26" s="228"/>
      <c r="E26" s="228"/>
      <c r="F26" s="126"/>
      <c r="G26" s="126"/>
      <c r="H26" s="126"/>
      <c r="I26" s="126"/>
      <c r="J26" s="126"/>
      <c r="K26" s="126"/>
      <c r="L26" s="140"/>
      <c r="M26" s="126"/>
      <c r="N26" s="126"/>
      <c r="O26" s="126"/>
      <c r="P26" s="126"/>
      <c r="Q26" s="126"/>
      <c r="R26" s="126"/>
      <c r="S26" s="126"/>
      <c r="T26" s="155" t="s">
        <v>586</v>
      </c>
      <c r="U26" s="155"/>
      <c r="V26" s="155"/>
      <c r="W26" s="155"/>
      <c r="X26" s="155"/>
      <c r="Y26" s="155"/>
      <c r="Z26" s="155"/>
      <c r="AA26" s="155"/>
    </row>
    <row r="27" spans="1:27" ht="28.95" customHeight="1" x14ac:dyDescent="0.2">
      <c r="A27" s="137"/>
      <c r="B27" s="229" t="s">
        <v>919</v>
      </c>
      <c r="C27" s="229"/>
      <c r="D27" s="229"/>
      <c r="E27" s="229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55"/>
      <c r="U27" s="155" t="s">
        <v>586</v>
      </c>
      <c r="V27" s="155"/>
      <c r="W27" s="155"/>
      <c r="X27" s="155"/>
      <c r="Y27" s="155"/>
      <c r="Z27" s="155"/>
      <c r="AA27" s="155"/>
    </row>
    <row r="28" spans="1:27" ht="28.95" customHeight="1" x14ac:dyDescent="0.2">
      <c r="A28" s="137"/>
      <c r="B28" s="228" t="s">
        <v>920</v>
      </c>
      <c r="C28" s="228"/>
      <c r="D28" s="228"/>
      <c r="E28" s="228"/>
      <c r="F28" s="126"/>
      <c r="G28" s="126"/>
      <c r="H28" s="126"/>
      <c r="I28" s="141"/>
      <c r="J28" s="126"/>
      <c r="K28" s="126"/>
      <c r="L28" s="141"/>
      <c r="M28" s="126"/>
      <c r="N28" s="126"/>
      <c r="O28" s="126"/>
      <c r="P28" s="126"/>
      <c r="Q28" s="126"/>
      <c r="R28" s="126"/>
      <c r="S28" s="126"/>
      <c r="T28" s="155"/>
      <c r="U28" s="155"/>
      <c r="V28" s="155" t="s">
        <v>586</v>
      </c>
      <c r="W28" s="155"/>
      <c r="X28" s="155"/>
      <c r="Y28" s="155"/>
      <c r="Z28" s="155"/>
      <c r="AA28" s="155"/>
    </row>
    <row r="29" spans="1:27" ht="28.95" customHeight="1" x14ac:dyDescent="0.2">
      <c r="A29" s="137"/>
      <c r="B29" s="228" t="s">
        <v>921</v>
      </c>
      <c r="C29" s="228"/>
      <c r="D29" s="228"/>
      <c r="E29" s="228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55"/>
      <c r="U29" s="155"/>
      <c r="V29" s="155"/>
      <c r="W29" s="155" t="s">
        <v>586</v>
      </c>
      <c r="X29" s="155"/>
      <c r="Y29" s="155"/>
      <c r="Z29" s="155"/>
      <c r="AA29" s="155"/>
    </row>
    <row r="30" spans="1:27" ht="15.45" customHeight="1" x14ac:dyDescent="0.2">
      <c r="A30" s="137"/>
      <c r="B30" s="232" t="s">
        <v>922</v>
      </c>
      <c r="C30" s="232"/>
      <c r="D30" s="232"/>
      <c r="E30" s="232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55"/>
      <c r="U30" s="155"/>
      <c r="V30" s="155"/>
      <c r="W30" s="155"/>
      <c r="X30" s="155" t="s">
        <v>586</v>
      </c>
      <c r="Y30" s="155"/>
      <c r="Z30" s="155"/>
      <c r="AA30" s="155"/>
    </row>
    <row r="31" spans="1:27" ht="28.95" customHeight="1" x14ac:dyDescent="0.2">
      <c r="A31" s="137"/>
      <c r="B31" s="228" t="s">
        <v>923</v>
      </c>
      <c r="C31" s="228"/>
      <c r="D31" s="228"/>
      <c r="E31" s="228"/>
      <c r="F31" s="126"/>
      <c r="G31" s="126"/>
      <c r="H31" s="141"/>
      <c r="I31" s="126"/>
      <c r="J31" s="126"/>
      <c r="K31" s="126"/>
      <c r="L31" s="126"/>
      <c r="M31" s="126"/>
      <c r="N31" s="126"/>
      <c r="O31" s="126"/>
      <c r="P31" s="126"/>
      <c r="Q31" s="126"/>
      <c r="R31" s="126"/>
      <c r="S31" s="126"/>
      <c r="T31" s="155"/>
      <c r="U31" s="155"/>
      <c r="V31" s="155"/>
      <c r="W31" s="155"/>
      <c r="X31" s="155"/>
      <c r="Y31" s="155" t="s">
        <v>586</v>
      </c>
      <c r="Z31" s="155"/>
      <c r="AA31" s="155"/>
    </row>
    <row r="32" spans="1:27" ht="28.95" customHeight="1" x14ac:dyDescent="0.2">
      <c r="A32" s="137"/>
      <c r="B32" s="230" t="s">
        <v>924</v>
      </c>
      <c r="C32" s="230"/>
      <c r="D32" s="230"/>
      <c r="E32" s="230"/>
      <c r="F32" s="150"/>
      <c r="G32" s="150"/>
      <c r="H32" s="150"/>
      <c r="I32" s="126"/>
      <c r="J32" s="150"/>
      <c r="K32" s="150"/>
      <c r="L32" s="150"/>
      <c r="M32" s="126"/>
      <c r="N32" s="126"/>
      <c r="O32" s="150"/>
      <c r="P32" s="150"/>
      <c r="Q32" s="150"/>
      <c r="R32" s="150"/>
      <c r="S32" s="150"/>
      <c r="T32" s="156"/>
      <c r="U32" s="156"/>
      <c r="V32" s="156"/>
      <c r="W32" s="156"/>
      <c r="X32" s="156"/>
      <c r="Y32" s="156"/>
      <c r="Z32" s="156" t="s">
        <v>586</v>
      </c>
      <c r="AA32" s="156"/>
    </row>
    <row r="33" spans="1:27" ht="28.95" customHeight="1" x14ac:dyDescent="0.2">
      <c r="A33" s="137"/>
      <c r="B33" s="231" t="s">
        <v>925</v>
      </c>
      <c r="C33" s="231"/>
      <c r="D33" s="231"/>
      <c r="E33" s="231"/>
      <c r="F33" s="152"/>
      <c r="G33" s="152"/>
      <c r="H33" s="152"/>
      <c r="I33" s="153"/>
      <c r="J33" s="152"/>
      <c r="K33" s="152"/>
      <c r="L33" s="152"/>
      <c r="M33" s="153"/>
      <c r="N33" s="153"/>
      <c r="O33" s="152"/>
      <c r="P33" s="152"/>
      <c r="Q33" s="152"/>
      <c r="R33" s="152"/>
      <c r="S33" s="152"/>
      <c r="T33" s="157"/>
      <c r="U33" s="157"/>
      <c r="V33" s="157"/>
      <c r="W33" s="157"/>
      <c r="X33" s="157"/>
      <c r="Y33" s="157"/>
      <c r="Z33" s="157"/>
      <c r="AA33" s="157" t="s">
        <v>586</v>
      </c>
    </row>
    <row r="34" spans="1:27" ht="13.2" customHeight="1" x14ac:dyDescent="0.2">
      <c r="A34" s="137"/>
      <c r="B34" s="151"/>
      <c r="C34" s="135"/>
      <c r="D34" s="158"/>
      <c r="E34" s="135"/>
      <c r="F34" s="152"/>
      <c r="G34" s="152"/>
      <c r="H34" s="152"/>
      <c r="I34" s="153"/>
      <c r="J34" s="152"/>
      <c r="K34" s="152"/>
      <c r="L34" s="152"/>
      <c r="M34" s="153"/>
      <c r="N34" s="153"/>
      <c r="O34" s="152"/>
      <c r="P34" s="152"/>
      <c r="Q34" s="152"/>
      <c r="R34" s="152"/>
      <c r="S34" s="152"/>
      <c r="T34" s="157"/>
      <c r="U34" s="157"/>
      <c r="V34" s="157"/>
      <c r="W34" s="157"/>
      <c r="X34" s="157"/>
      <c r="Y34" s="157"/>
      <c r="Z34" s="157"/>
      <c r="AA34" s="157"/>
    </row>
    <row r="35" spans="1:27" ht="28.95" customHeight="1" x14ac:dyDescent="0.2">
      <c r="A35" s="131" t="s">
        <v>595</v>
      </c>
      <c r="B35" s="151" t="s">
        <v>596</v>
      </c>
      <c r="C35" s="135"/>
      <c r="D35" s="158"/>
      <c r="E35" s="135"/>
      <c r="F35" s="159"/>
      <c r="G35" s="159"/>
      <c r="H35" s="159"/>
      <c r="I35" s="136"/>
      <c r="J35" s="159"/>
      <c r="K35" s="159"/>
      <c r="L35" s="159"/>
      <c r="M35" s="136"/>
      <c r="N35" s="136"/>
      <c r="O35" s="159"/>
      <c r="P35" s="159"/>
      <c r="Q35" s="159"/>
      <c r="R35" s="159"/>
      <c r="S35" s="159"/>
      <c r="T35" s="160"/>
      <c r="U35" s="160"/>
      <c r="V35" s="160"/>
      <c r="W35" s="160"/>
      <c r="X35" s="160"/>
      <c r="Y35" s="160"/>
      <c r="Z35" s="160"/>
      <c r="AA35" s="160"/>
    </row>
    <row r="36" spans="1:27" ht="28.95" customHeight="1" x14ac:dyDescent="0.2">
      <c r="A36" s="161"/>
      <c r="B36" s="233" t="s">
        <v>926</v>
      </c>
      <c r="C36" s="233"/>
      <c r="D36" s="233"/>
      <c r="E36" s="233"/>
      <c r="F36" s="153" t="s">
        <v>586</v>
      </c>
      <c r="G36" s="153"/>
      <c r="H36" s="153"/>
      <c r="I36" s="153"/>
      <c r="J36" s="153"/>
      <c r="K36" s="153"/>
      <c r="L36" s="153"/>
      <c r="M36" s="153"/>
      <c r="N36" s="153"/>
      <c r="O36" s="153"/>
      <c r="P36" s="153"/>
      <c r="Q36" s="153"/>
      <c r="R36" s="153"/>
      <c r="S36" s="153"/>
      <c r="T36" s="162"/>
      <c r="U36" s="162"/>
      <c r="V36" s="162"/>
      <c r="W36" s="162"/>
      <c r="X36" s="162"/>
      <c r="Y36" s="162"/>
      <c r="Z36" s="162"/>
      <c r="AA36" s="162"/>
    </row>
    <row r="37" spans="1:27" ht="28.95" customHeight="1" x14ac:dyDescent="0.2">
      <c r="A37" s="163"/>
      <c r="B37" s="234" t="s">
        <v>927</v>
      </c>
      <c r="C37" s="234"/>
      <c r="D37" s="234"/>
      <c r="E37" s="234"/>
      <c r="F37" s="126"/>
      <c r="G37" s="126" t="s">
        <v>586</v>
      </c>
      <c r="H37" s="126"/>
      <c r="I37" s="126"/>
      <c r="J37" s="126"/>
      <c r="K37" s="126"/>
      <c r="L37" s="126"/>
      <c r="M37" s="126"/>
      <c r="N37" s="126"/>
      <c r="O37" s="126"/>
      <c r="P37" s="126"/>
      <c r="Q37" s="126"/>
      <c r="R37" s="126"/>
      <c r="S37" s="126"/>
      <c r="T37" s="155"/>
      <c r="U37" s="155"/>
      <c r="V37" s="155"/>
      <c r="W37" s="155"/>
      <c r="X37" s="155"/>
      <c r="Y37" s="155"/>
      <c r="Z37" s="155"/>
      <c r="AA37" s="155"/>
    </row>
    <row r="38" spans="1:27" ht="28.95" customHeight="1" x14ac:dyDescent="0.2">
      <c r="A38" s="163"/>
      <c r="B38" s="234" t="s">
        <v>928</v>
      </c>
      <c r="C38" s="234"/>
      <c r="D38" s="234"/>
      <c r="E38" s="234"/>
      <c r="F38" s="126"/>
      <c r="G38" s="126"/>
      <c r="H38" s="126" t="s">
        <v>586</v>
      </c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55"/>
      <c r="U38" s="155"/>
      <c r="V38" s="155"/>
      <c r="W38" s="155"/>
      <c r="X38" s="155"/>
      <c r="Y38" s="155"/>
      <c r="Z38" s="155"/>
      <c r="AA38" s="155"/>
    </row>
    <row r="39" spans="1:27" ht="28.95" customHeight="1" x14ac:dyDescent="0.2">
      <c r="A39" s="163"/>
      <c r="B39" s="234" t="s">
        <v>929</v>
      </c>
      <c r="C39" s="234"/>
      <c r="D39" s="234"/>
      <c r="E39" s="234"/>
      <c r="F39" s="126"/>
      <c r="G39" s="126"/>
      <c r="H39" s="126"/>
      <c r="I39" s="126" t="s">
        <v>586</v>
      </c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55"/>
      <c r="U39" s="155"/>
      <c r="V39" s="155"/>
      <c r="W39" s="155"/>
      <c r="X39" s="155"/>
      <c r="Y39" s="155"/>
      <c r="Z39" s="155"/>
      <c r="AA39" s="155"/>
    </row>
    <row r="40" spans="1:27" ht="28.95" customHeight="1" x14ac:dyDescent="0.2">
      <c r="A40" s="163"/>
      <c r="B40" s="234" t="s">
        <v>930</v>
      </c>
      <c r="C40" s="234"/>
      <c r="D40" s="234"/>
      <c r="E40" s="234"/>
      <c r="F40" s="126"/>
      <c r="G40" s="126"/>
      <c r="H40" s="126"/>
      <c r="I40" s="126"/>
      <c r="J40" s="126" t="s">
        <v>586</v>
      </c>
      <c r="K40" s="126"/>
      <c r="L40" s="126"/>
      <c r="M40" s="126"/>
      <c r="N40" s="126"/>
      <c r="O40" s="126"/>
      <c r="P40" s="126"/>
      <c r="Q40" s="126"/>
      <c r="R40" s="126"/>
      <c r="S40" s="126"/>
      <c r="T40" s="155"/>
      <c r="U40" s="155"/>
      <c r="V40" s="155"/>
      <c r="W40" s="155"/>
      <c r="X40" s="155"/>
      <c r="Y40" s="155"/>
      <c r="Z40" s="155"/>
      <c r="AA40" s="155"/>
    </row>
    <row r="41" spans="1:27" ht="28.95" customHeight="1" x14ac:dyDescent="0.2">
      <c r="A41" s="163"/>
      <c r="B41" s="234" t="s">
        <v>931</v>
      </c>
      <c r="C41" s="234"/>
      <c r="D41" s="234"/>
      <c r="E41" s="234"/>
      <c r="F41" s="126"/>
      <c r="G41" s="126"/>
      <c r="H41" s="126"/>
      <c r="I41" s="126"/>
      <c r="J41" s="126"/>
      <c r="K41" s="126" t="s">
        <v>586</v>
      </c>
      <c r="L41" s="126"/>
      <c r="M41" s="126"/>
      <c r="N41" s="126"/>
      <c r="O41" s="126"/>
      <c r="P41" s="126"/>
      <c r="Q41" s="126"/>
      <c r="R41" s="126"/>
      <c r="S41" s="126"/>
      <c r="T41" s="155"/>
      <c r="U41" s="155"/>
      <c r="V41" s="155"/>
      <c r="W41" s="155"/>
      <c r="X41" s="155"/>
      <c r="Y41" s="155"/>
      <c r="Z41" s="155"/>
      <c r="AA41" s="155"/>
    </row>
    <row r="42" spans="1:27" ht="28.95" customHeight="1" x14ac:dyDescent="0.2">
      <c r="A42" s="163"/>
      <c r="B42" s="234" t="s">
        <v>932</v>
      </c>
      <c r="C42" s="234"/>
      <c r="D42" s="234"/>
      <c r="E42" s="234"/>
      <c r="F42" s="126"/>
      <c r="G42" s="126"/>
      <c r="H42" s="126"/>
      <c r="I42" s="126"/>
      <c r="J42" s="126"/>
      <c r="K42" s="126"/>
      <c r="L42" s="126" t="s">
        <v>586</v>
      </c>
      <c r="M42" s="126"/>
      <c r="N42" s="126"/>
      <c r="O42" s="126"/>
      <c r="P42" s="126"/>
      <c r="Q42" s="126"/>
      <c r="R42" s="126"/>
      <c r="S42" s="126"/>
      <c r="T42" s="155"/>
      <c r="U42" s="155"/>
      <c r="V42" s="155"/>
      <c r="W42" s="155"/>
      <c r="X42" s="155"/>
      <c r="Y42" s="155"/>
      <c r="Z42" s="155"/>
      <c r="AA42" s="155"/>
    </row>
    <row r="43" spans="1:27" ht="28.95" customHeight="1" x14ac:dyDescent="0.2">
      <c r="A43" s="163"/>
      <c r="B43" s="234" t="s">
        <v>933</v>
      </c>
      <c r="C43" s="234"/>
      <c r="D43" s="234"/>
      <c r="E43" s="234"/>
      <c r="F43" s="126"/>
      <c r="G43" s="126"/>
      <c r="H43" s="126"/>
      <c r="I43" s="126"/>
      <c r="J43" s="126"/>
      <c r="K43" s="126"/>
      <c r="L43" s="126"/>
      <c r="M43" s="126" t="s">
        <v>586</v>
      </c>
      <c r="N43" s="126"/>
      <c r="O43" s="126"/>
      <c r="P43" s="126"/>
      <c r="Q43" s="126"/>
      <c r="R43" s="126"/>
      <c r="S43" s="126"/>
      <c r="T43" s="155"/>
      <c r="U43" s="155"/>
      <c r="V43" s="155"/>
      <c r="W43" s="155"/>
      <c r="X43" s="155"/>
      <c r="Y43" s="155"/>
      <c r="Z43" s="155"/>
      <c r="AA43" s="155"/>
    </row>
    <row r="44" spans="1:27" ht="28.95" customHeight="1" x14ac:dyDescent="0.2">
      <c r="A44" s="163"/>
      <c r="B44" s="234" t="s">
        <v>934</v>
      </c>
      <c r="C44" s="234"/>
      <c r="D44" s="234"/>
      <c r="E44" s="234"/>
      <c r="F44" s="126"/>
      <c r="G44" s="141"/>
      <c r="H44" s="126"/>
      <c r="I44" s="126"/>
      <c r="J44" s="126"/>
      <c r="K44" s="126"/>
      <c r="L44" s="126"/>
      <c r="M44" s="126"/>
      <c r="N44" s="126" t="s">
        <v>586</v>
      </c>
      <c r="O44" s="126"/>
      <c r="P44" s="126"/>
      <c r="Q44" s="126"/>
      <c r="R44" s="126"/>
      <c r="S44" s="126"/>
      <c r="T44" s="155"/>
      <c r="U44" s="155"/>
      <c r="V44" s="155"/>
      <c r="W44" s="155"/>
      <c r="X44" s="155"/>
      <c r="Y44" s="155"/>
      <c r="Z44" s="155"/>
      <c r="AA44" s="155"/>
    </row>
    <row r="45" spans="1:27" ht="28.95" customHeight="1" x14ac:dyDescent="0.2">
      <c r="A45" s="163"/>
      <c r="B45" s="234" t="s">
        <v>935</v>
      </c>
      <c r="C45" s="234"/>
      <c r="D45" s="234"/>
      <c r="E45" s="234"/>
      <c r="F45" s="126"/>
      <c r="G45" s="141"/>
      <c r="H45" s="126"/>
      <c r="I45" s="126"/>
      <c r="J45" s="126"/>
      <c r="K45" s="126"/>
      <c r="L45" s="126"/>
      <c r="M45" s="126"/>
      <c r="N45" s="126"/>
      <c r="O45" s="126" t="s">
        <v>586</v>
      </c>
      <c r="P45" s="126"/>
      <c r="Q45" s="126"/>
      <c r="R45" s="126"/>
      <c r="S45" s="126"/>
      <c r="T45" s="155"/>
      <c r="U45" s="155"/>
      <c r="V45" s="155"/>
      <c r="W45" s="155"/>
      <c r="X45" s="155"/>
      <c r="Y45" s="155"/>
      <c r="Z45" s="155"/>
      <c r="AA45" s="155"/>
    </row>
    <row r="46" spans="1:27" ht="28.95" customHeight="1" x14ac:dyDescent="0.2">
      <c r="A46" s="163"/>
      <c r="B46" s="228" t="s">
        <v>936</v>
      </c>
      <c r="C46" s="228"/>
      <c r="D46" s="228"/>
      <c r="E46" s="228"/>
      <c r="F46" s="126"/>
      <c r="G46" s="141"/>
      <c r="H46" s="126"/>
      <c r="I46" s="126"/>
      <c r="J46" s="126"/>
      <c r="K46" s="126"/>
      <c r="L46" s="126"/>
      <c r="M46" s="126"/>
      <c r="N46" s="126"/>
      <c r="O46" s="126"/>
      <c r="P46" s="126" t="s">
        <v>586</v>
      </c>
      <c r="Q46" s="126"/>
      <c r="R46" s="126"/>
      <c r="S46" s="126"/>
      <c r="T46" s="155"/>
      <c r="U46" s="155"/>
      <c r="V46" s="155"/>
      <c r="W46" s="155"/>
      <c r="X46" s="155"/>
      <c r="Y46" s="155"/>
      <c r="Z46" s="155"/>
      <c r="AA46" s="155"/>
    </row>
    <row r="47" spans="1:27" ht="28.95" customHeight="1" x14ac:dyDescent="0.2">
      <c r="A47" s="163"/>
      <c r="B47" s="228" t="s">
        <v>937</v>
      </c>
      <c r="C47" s="228"/>
      <c r="D47" s="228"/>
      <c r="E47" s="228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 t="s">
        <v>586</v>
      </c>
      <c r="R47" s="126"/>
      <c r="S47" s="126"/>
      <c r="T47" s="155"/>
      <c r="U47" s="155"/>
      <c r="V47" s="155"/>
      <c r="W47" s="155"/>
      <c r="X47" s="155"/>
      <c r="Y47" s="155"/>
      <c r="Z47" s="155"/>
      <c r="AA47" s="155"/>
    </row>
    <row r="48" spans="1:27" ht="28.95" customHeight="1" x14ac:dyDescent="0.2">
      <c r="A48" s="163"/>
      <c r="B48" s="228" t="s">
        <v>938</v>
      </c>
      <c r="C48" s="228"/>
      <c r="D48" s="228"/>
      <c r="E48" s="228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 t="s">
        <v>586</v>
      </c>
      <c r="S48" s="126"/>
      <c r="T48" s="155"/>
      <c r="U48" s="155"/>
      <c r="V48" s="155"/>
      <c r="W48" s="155"/>
      <c r="X48" s="155"/>
      <c r="Y48" s="155"/>
      <c r="Z48" s="155"/>
      <c r="AA48" s="155"/>
    </row>
    <row r="49" spans="1:27" ht="28.95" customHeight="1" x14ac:dyDescent="0.2">
      <c r="A49" s="163"/>
      <c r="B49" s="228" t="s">
        <v>939</v>
      </c>
      <c r="C49" s="228"/>
      <c r="D49" s="228"/>
      <c r="E49" s="228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 t="s">
        <v>586</v>
      </c>
      <c r="T49" s="155"/>
      <c r="U49" s="155"/>
      <c r="V49" s="155"/>
      <c r="W49" s="155"/>
      <c r="X49" s="155"/>
      <c r="Y49" s="155"/>
      <c r="Z49" s="155"/>
      <c r="AA49" s="155"/>
    </row>
    <row r="50" spans="1:27" ht="28.95" customHeight="1" x14ac:dyDescent="0.2">
      <c r="A50" s="163"/>
      <c r="B50" s="228" t="s">
        <v>940</v>
      </c>
      <c r="C50" s="228"/>
      <c r="D50" s="228"/>
      <c r="E50" s="228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55" t="s">
        <v>586</v>
      </c>
      <c r="U50" s="155"/>
      <c r="V50" s="155"/>
      <c r="W50" s="155"/>
      <c r="X50" s="155"/>
      <c r="Y50" s="155"/>
      <c r="Z50" s="155"/>
      <c r="AA50" s="155"/>
    </row>
    <row r="51" spans="1:27" ht="28.95" customHeight="1" x14ac:dyDescent="0.2">
      <c r="A51" s="163"/>
      <c r="B51" s="228" t="s">
        <v>941</v>
      </c>
      <c r="C51" s="228"/>
      <c r="D51" s="228"/>
      <c r="E51" s="228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55"/>
      <c r="U51" s="155" t="s">
        <v>586</v>
      </c>
      <c r="V51" s="155"/>
      <c r="W51" s="155"/>
      <c r="X51" s="155"/>
      <c r="Y51" s="155"/>
      <c r="Z51" s="155"/>
      <c r="AA51" s="155"/>
    </row>
    <row r="52" spans="1:27" ht="42.45" customHeight="1" x14ac:dyDescent="0.2">
      <c r="A52" s="163"/>
      <c r="B52" s="228" t="s">
        <v>942</v>
      </c>
      <c r="C52" s="228"/>
      <c r="D52" s="228"/>
      <c r="E52" s="228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55"/>
      <c r="U52" s="155"/>
      <c r="V52" s="155" t="s">
        <v>586</v>
      </c>
      <c r="W52" s="155"/>
      <c r="X52" s="155"/>
      <c r="Y52" s="155"/>
      <c r="Z52" s="155"/>
      <c r="AA52" s="155"/>
    </row>
    <row r="53" spans="1:27" ht="28.95" customHeight="1" x14ac:dyDescent="0.2">
      <c r="A53" s="163"/>
      <c r="B53" s="235" t="s">
        <v>943</v>
      </c>
      <c r="C53" s="235"/>
      <c r="D53" s="235"/>
      <c r="E53" s="235"/>
      <c r="F53" s="139"/>
      <c r="G53" s="141"/>
      <c r="H53" s="139"/>
      <c r="I53" s="139"/>
      <c r="J53" s="139"/>
      <c r="K53" s="139"/>
      <c r="L53" s="139"/>
      <c r="M53" s="139"/>
      <c r="N53" s="139"/>
      <c r="O53" s="139"/>
      <c r="P53" s="139"/>
      <c r="Q53" s="139"/>
      <c r="R53" s="139"/>
      <c r="S53" s="139"/>
      <c r="T53" s="165"/>
      <c r="U53" s="165"/>
      <c r="V53" s="165"/>
      <c r="W53" s="165" t="s">
        <v>586</v>
      </c>
      <c r="X53" s="165"/>
      <c r="Y53" s="165"/>
      <c r="Z53" s="165"/>
      <c r="AA53" s="165"/>
    </row>
    <row r="54" spans="1:27" ht="28.95" customHeight="1" x14ac:dyDescent="0.2">
      <c r="A54" s="161"/>
      <c r="B54" s="236" t="s">
        <v>944</v>
      </c>
      <c r="C54" s="236"/>
      <c r="D54" s="236"/>
      <c r="E54" s="236"/>
      <c r="F54" s="166"/>
      <c r="G54" s="166"/>
      <c r="H54" s="166"/>
      <c r="I54" s="166"/>
      <c r="J54" s="166"/>
      <c r="K54" s="166"/>
      <c r="L54" s="166"/>
      <c r="M54" s="166"/>
      <c r="N54" s="166"/>
      <c r="O54" s="166"/>
      <c r="P54" s="166"/>
      <c r="Q54" s="166"/>
      <c r="R54" s="166"/>
      <c r="S54" s="166"/>
      <c r="T54" s="167"/>
      <c r="U54" s="167"/>
      <c r="V54" s="167"/>
      <c r="W54" s="167"/>
      <c r="X54" s="167" t="s">
        <v>586</v>
      </c>
      <c r="Y54" s="167"/>
      <c r="Z54" s="167"/>
      <c r="AA54" s="167"/>
    </row>
    <row r="55" spans="1:27" ht="28.95" customHeight="1" x14ac:dyDescent="0.2">
      <c r="A55" s="163"/>
      <c r="B55" s="234" t="s">
        <v>945</v>
      </c>
      <c r="C55" s="234"/>
      <c r="D55" s="234"/>
      <c r="E55" s="234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55"/>
      <c r="U55" s="155"/>
      <c r="V55" s="155"/>
      <c r="W55" s="155"/>
      <c r="X55" s="155"/>
      <c r="Y55" s="155" t="s">
        <v>586</v>
      </c>
      <c r="Z55" s="155"/>
      <c r="AA55" s="155"/>
    </row>
    <row r="56" spans="1:27" ht="42.45" customHeight="1" x14ac:dyDescent="0.2">
      <c r="A56" s="163"/>
      <c r="B56" s="234" t="s">
        <v>946</v>
      </c>
      <c r="C56" s="234"/>
      <c r="D56" s="234"/>
      <c r="E56" s="234"/>
      <c r="F56" s="168"/>
      <c r="G56" s="168"/>
      <c r="H56" s="168"/>
      <c r="I56" s="168"/>
      <c r="J56" s="168"/>
      <c r="K56" s="168"/>
      <c r="L56" s="168"/>
      <c r="M56" s="168"/>
      <c r="N56" s="168"/>
      <c r="O56" s="169"/>
      <c r="P56" s="169"/>
      <c r="Q56" s="169"/>
      <c r="R56" s="169"/>
      <c r="S56" s="169"/>
      <c r="T56" s="170"/>
      <c r="U56" s="170"/>
      <c r="V56" s="170"/>
      <c r="W56" s="170"/>
      <c r="X56" s="170"/>
      <c r="Y56" s="170"/>
      <c r="Z56" s="170" t="s">
        <v>586</v>
      </c>
      <c r="AA56" s="170"/>
    </row>
    <row r="57" spans="1:27" ht="28.95" customHeight="1" x14ac:dyDescent="0.2">
      <c r="A57" s="171"/>
      <c r="B57" s="237" t="s">
        <v>947</v>
      </c>
      <c r="C57" s="237"/>
      <c r="D57" s="237"/>
      <c r="E57" s="237"/>
      <c r="F57" s="150"/>
      <c r="G57" s="150"/>
      <c r="H57" s="150"/>
      <c r="I57" s="150"/>
      <c r="J57" s="150"/>
      <c r="K57" s="150"/>
      <c r="L57" s="150"/>
      <c r="M57" s="150"/>
      <c r="N57" s="150"/>
      <c r="O57" s="150"/>
      <c r="P57" s="150"/>
      <c r="Q57" s="150"/>
      <c r="R57" s="150"/>
      <c r="S57" s="150"/>
      <c r="T57" s="156"/>
      <c r="U57" s="156"/>
      <c r="V57" s="156"/>
      <c r="W57" s="156"/>
      <c r="X57" s="156"/>
      <c r="Y57" s="156"/>
      <c r="Z57" s="156"/>
      <c r="AA57" s="156" t="s">
        <v>586</v>
      </c>
    </row>
    <row r="58" spans="1:27" ht="14.25" customHeight="1" x14ac:dyDescent="0.25">
      <c r="A58" s="171"/>
      <c r="B58" s="172"/>
      <c r="C58" s="173"/>
      <c r="D58" s="174"/>
      <c r="E58" s="175"/>
      <c r="F58" s="150"/>
      <c r="G58" s="150"/>
      <c r="H58" s="150"/>
      <c r="I58" s="150"/>
      <c r="J58" s="150"/>
      <c r="K58" s="150"/>
      <c r="L58" s="150"/>
      <c r="M58" s="150"/>
      <c r="N58" s="150"/>
      <c r="O58" s="150"/>
      <c r="P58" s="150"/>
      <c r="Q58" s="150"/>
      <c r="R58" s="150"/>
      <c r="S58" s="150"/>
      <c r="T58" s="156"/>
      <c r="U58" s="156"/>
      <c r="V58" s="156"/>
      <c r="W58" s="156"/>
      <c r="X58" s="156"/>
      <c r="Y58" s="156"/>
      <c r="Z58" s="156"/>
      <c r="AA58" s="156"/>
    </row>
    <row r="59" spans="1:27" ht="15.45" customHeight="1" x14ac:dyDescent="0.25">
      <c r="A59" s="131" t="s">
        <v>564</v>
      </c>
      <c r="B59" s="237" t="s">
        <v>605</v>
      </c>
      <c r="C59" s="237"/>
      <c r="D59" s="237"/>
      <c r="E59" s="175"/>
      <c r="F59" s="150" t="s">
        <v>554</v>
      </c>
      <c r="G59" s="150" t="s">
        <v>554</v>
      </c>
      <c r="H59" s="150" t="s">
        <v>555</v>
      </c>
      <c r="I59" s="150" t="s">
        <v>554</v>
      </c>
      <c r="J59" s="150" t="s">
        <v>554</v>
      </c>
      <c r="K59" s="150" t="s">
        <v>555</v>
      </c>
      <c r="L59" s="150" t="s">
        <v>555</v>
      </c>
      <c r="M59" s="150" t="s">
        <v>554</v>
      </c>
      <c r="N59" s="150" t="s">
        <v>554</v>
      </c>
      <c r="O59" s="150" t="s">
        <v>554</v>
      </c>
      <c r="P59" s="150" t="s">
        <v>554</v>
      </c>
      <c r="Q59" s="150" t="s">
        <v>555</v>
      </c>
      <c r="R59" s="150" t="s">
        <v>555</v>
      </c>
      <c r="S59" s="150" t="s">
        <v>554</v>
      </c>
      <c r="T59" s="156" t="s">
        <v>554</v>
      </c>
      <c r="U59" s="156" t="s">
        <v>554</v>
      </c>
      <c r="V59" s="156" t="s">
        <v>554</v>
      </c>
      <c r="W59" s="156" t="s">
        <v>555</v>
      </c>
      <c r="X59" s="156" t="s">
        <v>554</v>
      </c>
      <c r="Y59" s="156" t="s">
        <v>554</v>
      </c>
      <c r="Z59" s="156" t="s">
        <v>554</v>
      </c>
      <c r="AA59" s="156" t="s">
        <v>554</v>
      </c>
    </row>
    <row r="60" spans="1:27" ht="15.45" customHeight="1" x14ac:dyDescent="0.25">
      <c r="A60" s="171"/>
      <c r="B60" s="237" t="s">
        <v>606</v>
      </c>
      <c r="C60" s="237"/>
      <c r="D60" s="237"/>
      <c r="E60" s="175"/>
      <c r="F60" s="150" t="s">
        <v>607</v>
      </c>
      <c r="G60" s="150" t="s">
        <v>607</v>
      </c>
      <c r="H60" s="150" t="s">
        <v>607</v>
      </c>
      <c r="I60" s="150" t="s">
        <v>607</v>
      </c>
      <c r="J60" s="150" t="s">
        <v>607</v>
      </c>
      <c r="K60" s="150" t="s">
        <v>607</v>
      </c>
      <c r="L60" s="150" t="s">
        <v>607</v>
      </c>
      <c r="M60" s="150" t="s">
        <v>607</v>
      </c>
      <c r="N60" s="150" t="s">
        <v>607</v>
      </c>
      <c r="O60" s="150" t="s">
        <v>607</v>
      </c>
      <c r="P60" s="150" t="s">
        <v>607</v>
      </c>
      <c r="Q60" s="150" t="s">
        <v>607</v>
      </c>
      <c r="R60" s="150" t="s">
        <v>607</v>
      </c>
      <c r="S60" s="150" t="s">
        <v>607</v>
      </c>
      <c r="T60" s="156" t="s">
        <v>607</v>
      </c>
      <c r="U60" s="156" t="s">
        <v>607</v>
      </c>
      <c r="V60" s="156" t="s">
        <v>607</v>
      </c>
      <c r="W60" s="156" t="s">
        <v>607</v>
      </c>
      <c r="X60" s="156" t="s">
        <v>607</v>
      </c>
      <c r="Y60" s="156" t="s">
        <v>607</v>
      </c>
      <c r="Z60" s="156" t="s">
        <v>607</v>
      </c>
      <c r="AA60" s="156" t="s">
        <v>607</v>
      </c>
    </row>
    <row r="61" spans="1:27" ht="28.95" customHeight="1" x14ac:dyDescent="0.25">
      <c r="A61" s="171"/>
      <c r="B61" s="237" t="s">
        <v>608</v>
      </c>
      <c r="C61" s="237"/>
      <c r="D61" s="237"/>
      <c r="E61" s="175"/>
      <c r="F61" s="150" t="s">
        <v>609</v>
      </c>
      <c r="G61" s="150" t="s">
        <v>609</v>
      </c>
      <c r="H61" s="150" t="s">
        <v>609</v>
      </c>
      <c r="I61" s="150" t="s">
        <v>609</v>
      </c>
      <c r="J61" s="150" t="s">
        <v>609</v>
      </c>
      <c r="K61" s="150" t="s">
        <v>609</v>
      </c>
      <c r="L61" s="150" t="s">
        <v>609</v>
      </c>
      <c r="M61" s="150" t="s">
        <v>609</v>
      </c>
      <c r="N61" s="150" t="s">
        <v>609</v>
      </c>
      <c r="O61" s="150" t="s">
        <v>609</v>
      </c>
      <c r="P61" s="150" t="s">
        <v>609</v>
      </c>
      <c r="Q61" s="150" t="s">
        <v>609</v>
      </c>
      <c r="R61" s="150" t="s">
        <v>609</v>
      </c>
      <c r="S61" s="150" t="s">
        <v>609</v>
      </c>
      <c r="T61" s="156" t="s">
        <v>609</v>
      </c>
      <c r="U61" s="156" t="s">
        <v>609</v>
      </c>
      <c r="V61" s="156" t="s">
        <v>609</v>
      </c>
      <c r="W61" s="156" t="s">
        <v>609</v>
      </c>
      <c r="X61" s="156" t="s">
        <v>609</v>
      </c>
      <c r="Y61" s="156" t="s">
        <v>609</v>
      </c>
      <c r="Z61" s="156" t="s">
        <v>609</v>
      </c>
      <c r="AA61" s="156" t="s">
        <v>609</v>
      </c>
    </row>
    <row r="62" spans="1:27" ht="15.45" customHeight="1" x14ac:dyDescent="0.25">
      <c r="A62" s="171"/>
      <c r="B62" s="237" t="s">
        <v>610</v>
      </c>
      <c r="C62" s="237"/>
      <c r="D62" s="237"/>
      <c r="E62" s="175"/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50"/>
      <c r="R62" s="150"/>
      <c r="S62" s="150"/>
      <c r="T62" s="156"/>
      <c r="U62" s="156"/>
      <c r="V62" s="156"/>
      <c r="W62" s="156"/>
      <c r="X62" s="156"/>
      <c r="Y62" s="156"/>
      <c r="Z62" s="156"/>
      <c r="AA62" s="156"/>
    </row>
  </sheetData>
  <autoFilter ref="F9:AA62" xr:uid="{00000000-0009-0000-0000-00000B000000}"/>
  <mergeCells count="71">
    <mergeCell ref="B60:D60"/>
    <mergeCell ref="B61:D61"/>
    <mergeCell ref="B62:D62"/>
    <mergeCell ref="B54:E54"/>
    <mergeCell ref="B55:E55"/>
    <mergeCell ref="B56:E56"/>
    <mergeCell ref="B57:E57"/>
    <mergeCell ref="B59:D59"/>
    <mergeCell ref="B49:E49"/>
    <mergeCell ref="B50:E50"/>
    <mergeCell ref="B51:E51"/>
    <mergeCell ref="B52:E52"/>
    <mergeCell ref="B53:E53"/>
    <mergeCell ref="B44:E44"/>
    <mergeCell ref="B45:E45"/>
    <mergeCell ref="B46:E46"/>
    <mergeCell ref="B47:E47"/>
    <mergeCell ref="B48:E48"/>
    <mergeCell ref="B39:E39"/>
    <mergeCell ref="B40:E40"/>
    <mergeCell ref="B41:E41"/>
    <mergeCell ref="B42:E42"/>
    <mergeCell ref="B43:E43"/>
    <mergeCell ref="B32:E32"/>
    <mergeCell ref="B33:E33"/>
    <mergeCell ref="B36:E36"/>
    <mergeCell ref="B37:E37"/>
    <mergeCell ref="B38:E38"/>
    <mergeCell ref="B27:E27"/>
    <mergeCell ref="B28:E28"/>
    <mergeCell ref="B29:E29"/>
    <mergeCell ref="B30:E30"/>
    <mergeCell ref="B31:E31"/>
    <mergeCell ref="B22:E22"/>
    <mergeCell ref="B23:E23"/>
    <mergeCell ref="B24:E24"/>
    <mergeCell ref="B25:E25"/>
    <mergeCell ref="B26:E26"/>
    <mergeCell ref="B17:E17"/>
    <mergeCell ref="B18:E18"/>
    <mergeCell ref="B19:E19"/>
    <mergeCell ref="B20:E20"/>
    <mergeCell ref="B21:E21"/>
    <mergeCell ref="B12:E12"/>
    <mergeCell ref="B13:E13"/>
    <mergeCell ref="B14:E14"/>
    <mergeCell ref="B15:E15"/>
    <mergeCell ref="B16:E16"/>
    <mergeCell ref="A7:B7"/>
    <mergeCell ref="C7:E7"/>
    <mergeCell ref="F7:K7"/>
    <mergeCell ref="O7:AA7"/>
    <mergeCell ref="B11:E11"/>
    <mergeCell ref="A6:B6"/>
    <mergeCell ref="C6:E6"/>
    <mergeCell ref="F6:K6"/>
    <mergeCell ref="L6:N6"/>
    <mergeCell ref="O6:AA6"/>
    <mergeCell ref="A4:E4"/>
    <mergeCell ref="F4:K4"/>
    <mergeCell ref="L4:AA4"/>
    <mergeCell ref="A5:B5"/>
    <mergeCell ref="C5:AA5"/>
    <mergeCell ref="A2:B2"/>
    <mergeCell ref="C2:E2"/>
    <mergeCell ref="F2:K2"/>
    <mergeCell ref="L2:AA2"/>
    <mergeCell ref="A3:B3"/>
    <mergeCell ref="C3:E3"/>
    <mergeCell ref="F3:K3"/>
    <mergeCell ref="L3:AA3"/>
  </mergeCells>
  <pageMargins left="0.25" right="0.25" top="1" bottom="1" header="0.5" footer="0.5"/>
  <pageSetup fitToHeight="0" orientation="portrait" useFirstPageNumber="1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R44"/>
  <sheetViews>
    <sheetView zoomScale="85" zoomScaleNormal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3.5" customHeight="1" x14ac:dyDescent="0.2"/>
  <cols>
    <col min="1" max="1" width="11" customWidth="1"/>
    <col min="2" max="2" width="15" customWidth="1"/>
    <col min="3" max="3" width="20" customWidth="1"/>
    <col min="4" max="5" width="13" customWidth="1"/>
    <col min="6" max="6" width="10" customWidth="1"/>
    <col min="7" max="18" width="13" customWidth="1"/>
    <col min="19" max="90" width="8.33203125" customWidth="1"/>
  </cols>
  <sheetData>
    <row r="1" spans="1:18" ht="13.5" customHeight="1" x14ac:dyDescent="0.2">
      <c r="A1" s="121"/>
      <c r="B1" s="122"/>
      <c r="C1" s="123"/>
      <c r="D1" s="123"/>
      <c r="E1" s="123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</row>
    <row r="2" spans="1:18" ht="27.9" customHeight="1" x14ac:dyDescent="0.2">
      <c r="A2" s="221" t="s">
        <v>568</v>
      </c>
      <c r="B2" s="221"/>
      <c r="C2" s="222" t="s">
        <v>126</v>
      </c>
      <c r="D2" s="222"/>
      <c r="E2" s="222"/>
      <c r="F2" s="223" t="s">
        <v>78</v>
      </c>
      <c r="G2" s="223"/>
      <c r="H2" s="223"/>
      <c r="I2" s="223"/>
      <c r="J2" s="223"/>
      <c r="K2" s="223"/>
      <c r="L2" s="224" t="str">
        <f>FunctionList!D19</f>
        <v>See the per-case source map in the evidence document</v>
      </c>
      <c r="M2" s="224"/>
      <c r="N2" s="224"/>
      <c r="O2" s="224"/>
      <c r="P2" s="224"/>
      <c r="Q2" s="224"/>
      <c r="R2" s="224"/>
    </row>
    <row r="3" spans="1:18" ht="27.9" customHeight="1" x14ac:dyDescent="0.2">
      <c r="A3" s="221" t="s">
        <v>569</v>
      </c>
      <c r="B3" s="221"/>
      <c r="C3" s="222" t="s">
        <v>49</v>
      </c>
      <c r="D3" s="222"/>
      <c r="E3" s="222"/>
      <c r="F3" s="223" t="s">
        <v>570</v>
      </c>
      <c r="G3" s="223"/>
      <c r="H3" s="223"/>
      <c r="I3" s="223"/>
      <c r="J3" s="223"/>
      <c r="K3" s="223"/>
      <c r="L3" s="225"/>
      <c r="M3" s="225"/>
      <c r="N3" s="225"/>
      <c r="O3" s="225"/>
      <c r="P3" s="225"/>
      <c r="Q3" s="225"/>
      <c r="R3" s="225"/>
    </row>
    <row r="4" spans="1:18" ht="27.9" customHeight="1" x14ac:dyDescent="0.2">
      <c r="A4" s="221" t="s">
        <v>571</v>
      </c>
      <c r="B4" s="221"/>
      <c r="C4" s="221"/>
      <c r="D4" s="221"/>
      <c r="E4" s="221"/>
      <c r="F4" s="223" t="s">
        <v>572</v>
      </c>
      <c r="G4" s="223"/>
      <c r="H4" s="223"/>
      <c r="I4" s="223"/>
      <c r="J4" s="223"/>
      <c r="K4" s="223"/>
      <c r="L4" s="226">
        <f>IF(ISNUMBER(FunctionList!E6),MAX(0,ROUNDUP(C4*FunctionList!E6/1000,0)-O7),"N/A")</f>
        <v>0</v>
      </c>
      <c r="M4" s="226"/>
      <c r="N4" s="226"/>
      <c r="O4" s="226"/>
      <c r="P4" s="226"/>
      <c r="Q4" s="226"/>
      <c r="R4" s="226"/>
    </row>
    <row r="5" spans="1:18" ht="63.9" customHeight="1" x14ac:dyDescent="0.2">
      <c r="A5" s="221" t="s">
        <v>573</v>
      </c>
      <c r="B5" s="221"/>
      <c r="C5" s="227" t="s">
        <v>948</v>
      </c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</row>
    <row r="6" spans="1:18" ht="27.9" customHeight="1" x14ac:dyDescent="0.2">
      <c r="A6" s="223" t="s">
        <v>551</v>
      </c>
      <c r="B6" s="223"/>
      <c r="C6" s="223" t="s">
        <v>552</v>
      </c>
      <c r="D6" s="223"/>
      <c r="E6" s="223"/>
      <c r="F6" s="223" t="s">
        <v>553</v>
      </c>
      <c r="G6" s="223"/>
      <c r="H6" s="223"/>
      <c r="I6" s="223"/>
      <c r="J6" s="223"/>
      <c r="K6" s="223"/>
      <c r="L6" s="223" t="s">
        <v>575</v>
      </c>
      <c r="M6" s="223"/>
      <c r="N6" s="223"/>
      <c r="O6" s="223" t="s">
        <v>557</v>
      </c>
      <c r="P6" s="223"/>
      <c r="Q6" s="223"/>
      <c r="R6" s="223"/>
    </row>
    <row r="7" spans="1:18" ht="27.9" customHeight="1" x14ac:dyDescent="0.2">
      <c r="A7" s="226">
        <f>COUNTIF(F42:R42,"P")</f>
        <v>13</v>
      </c>
      <c r="B7" s="226"/>
      <c r="C7" s="226">
        <f>COUNTIF(F42:R42,"F")</f>
        <v>0</v>
      </c>
      <c r="D7" s="226"/>
      <c r="E7" s="226"/>
      <c r="F7" s="226">
        <f>O7-A7-C7</f>
        <v>0</v>
      </c>
      <c r="G7" s="226"/>
      <c r="H7" s="226"/>
      <c r="I7" s="226"/>
      <c r="J7" s="226"/>
      <c r="K7" s="226"/>
      <c r="L7" s="126">
        <f>COUNTIF(F41:R41,"N")</f>
        <v>9</v>
      </c>
      <c r="M7" s="126">
        <f>COUNTIF(F41:R41,"A")</f>
        <v>1</v>
      </c>
      <c r="N7" s="126">
        <f>COUNTIF(F41:R41,"B")</f>
        <v>3</v>
      </c>
      <c r="O7" s="226">
        <f>COUNTA(F9:R9)</f>
        <v>13</v>
      </c>
      <c r="P7" s="226"/>
      <c r="Q7" s="226"/>
      <c r="R7" s="226"/>
    </row>
    <row r="8" spans="1:18" ht="13.5" customHeight="1" x14ac:dyDescent="0.2">
      <c r="A8" s="123"/>
      <c r="B8" s="127"/>
      <c r="C8" s="123"/>
      <c r="D8" s="123"/>
      <c r="E8" s="123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4"/>
      <c r="R8" s="124"/>
    </row>
    <row r="9" spans="1:18" ht="42" customHeight="1" x14ac:dyDescent="0.2">
      <c r="A9" s="128"/>
      <c r="B9" s="129"/>
      <c r="C9" s="129"/>
      <c r="D9" s="129"/>
      <c r="E9" s="129"/>
      <c r="F9" s="130" t="s">
        <v>576</v>
      </c>
      <c r="G9" s="130" t="s">
        <v>577</v>
      </c>
      <c r="H9" s="130" t="s">
        <v>578</v>
      </c>
      <c r="I9" s="130" t="s">
        <v>579</v>
      </c>
      <c r="J9" s="130" t="s">
        <v>580</v>
      </c>
      <c r="K9" s="130" t="s">
        <v>581</v>
      </c>
      <c r="L9" s="130" t="s">
        <v>582</v>
      </c>
      <c r="M9" s="130" t="s">
        <v>583</v>
      </c>
      <c r="N9" s="130" t="s">
        <v>612</v>
      </c>
      <c r="O9" s="130" t="s">
        <v>613</v>
      </c>
      <c r="P9" s="130" t="s">
        <v>614</v>
      </c>
      <c r="Q9" s="130" t="s">
        <v>615</v>
      </c>
      <c r="R9" s="130" t="s">
        <v>616</v>
      </c>
    </row>
    <row r="10" spans="1:18" ht="15.45" customHeight="1" x14ac:dyDescent="0.2">
      <c r="A10" s="131" t="s">
        <v>584</v>
      </c>
      <c r="B10" s="132" t="s">
        <v>585</v>
      </c>
      <c r="C10" s="133"/>
      <c r="D10" s="134"/>
      <c r="E10" s="135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  <c r="R10" s="136"/>
    </row>
    <row r="11" spans="1:18" ht="42.45" customHeight="1" x14ac:dyDescent="0.2">
      <c r="A11" s="137"/>
      <c r="B11" s="228" t="s">
        <v>128</v>
      </c>
      <c r="C11" s="228"/>
      <c r="D11" s="228"/>
      <c r="E11" s="228"/>
      <c r="F11" s="126" t="s">
        <v>586</v>
      </c>
      <c r="G11" s="126" t="s">
        <v>586</v>
      </c>
      <c r="H11" s="126" t="s">
        <v>586</v>
      </c>
      <c r="I11" s="126" t="s">
        <v>586</v>
      </c>
      <c r="J11" s="126" t="s">
        <v>586</v>
      </c>
      <c r="K11" s="126" t="s">
        <v>586</v>
      </c>
      <c r="L11" s="126" t="s">
        <v>586</v>
      </c>
      <c r="M11" s="126" t="s">
        <v>586</v>
      </c>
      <c r="N11" s="126" t="s">
        <v>586</v>
      </c>
      <c r="O11" s="126" t="s">
        <v>586</v>
      </c>
      <c r="P11" s="126" t="s">
        <v>586</v>
      </c>
      <c r="Q11" s="126" t="s">
        <v>586</v>
      </c>
      <c r="R11" s="126" t="s">
        <v>586</v>
      </c>
    </row>
    <row r="12" spans="1:18" ht="15.45" customHeight="1" x14ac:dyDescent="0.2">
      <c r="A12" s="137"/>
      <c r="B12" s="228" t="s">
        <v>949</v>
      </c>
      <c r="C12" s="228"/>
      <c r="D12" s="228"/>
      <c r="E12" s="228"/>
      <c r="F12" s="126" t="s">
        <v>586</v>
      </c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  <c r="R12" s="126"/>
    </row>
    <row r="13" spans="1:18" ht="15.45" customHeight="1" x14ac:dyDescent="0.2">
      <c r="A13" s="137"/>
      <c r="B13" s="228" t="s">
        <v>950</v>
      </c>
      <c r="C13" s="228"/>
      <c r="D13" s="228"/>
      <c r="E13" s="228"/>
      <c r="F13" s="126"/>
      <c r="G13" s="126" t="s">
        <v>586</v>
      </c>
      <c r="H13" s="126"/>
      <c r="I13" s="126"/>
      <c r="J13" s="126"/>
      <c r="K13" s="126"/>
      <c r="L13" s="126"/>
      <c r="M13" s="126"/>
      <c r="N13" s="126"/>
      <c r="O13" s="126"/>
      <c r="P13" s="126"/>
      <c r="Q13" s="126"/>
      <c r="R13" s="126"/>
    </row>
    <row r="14" spans="1:18" ht="15.45" customHeight="1" x14ac:dyDescent="0.2">
      <c r="A14" s="137"/>
      <c r="B14" s="228" t="s">
        <v>951</v>
      </c>
      <c r="C14" s="228"/>
      <c r="D14" s="228"/>
      <c r="E14" s="228"/>
      <c r="F14" s="126"/>
      <c r="G14" s="126"/>
      <c r="H14" s="139" t="s">
        <v>586</v>
      </c>
      <c r="I14" s="126"/>
      <c r="J14" s="126"/>
      <c r="K14" s="126"/>
      <c r="L14" s="126"/>
      <c r="M14" s="126"/>
      <c r="N14" s="126"/>
      <c r="O14" s="126"/>
      <c r="P14" s="126"/>
      <c r="Q14" s="126"/>
      <c r="R14" s="126"/>
    </row>
    <row r="15" spans="1:18" ht="15.45" customHeight="1" x14ac:dyDescent="0.2">
      <c r="A15" s="137"/>
      <c r="B15" s="228" t="s">
        <v>952</v>
      </c>
      <c r="C15" s="228"/>
      <c r="D15" s="228"/>
      <c r="E15" s="228"/>
      <c r="F15" s="126"/>
      <c r="G15" s="126"/>
      <c r="H15" s="126"/>
      <c r="I15" s="140" t="s">
        <v>586</v>
      </c>
      <c r="J15" s="126"/>
      <c r="K15" s="126"/>
      <c r="L15" s="126"/>
      <c r="M15" s="126"/>
      <c r="N15" s="126"/>
      <c r="O15" s="126"/>
      <c r="P15" s="126"/>
      <c r="Q15" s="126"/>
      <c r="R15" s="126"/>
    </row>
    <row r="16" spans="1:18" ht="28.95" customHeight="1" x14ac:dyDescent="0.2">
      <c r="A16" s="137"/>
      <c r="B16" s="228" t="s">
        <v>953</v>
      </c>
      <c r="C16" s="228"/>
      <c r="D16" s="228"/>
      <c r="E16" s="228"/>
      <c r="F16" s="126"/>
      <c r="G16" s="126"/>
      <c r="H16" s="141"/>
      <c r="I16" s="126"/>
      <c r="J16" s="126" t="s">
        <v>586</v>
      </c>
      <c r="K16" s="126"/>
      <c r="L16" s="126"/>
      <c r="M16" s="126"/>
      <c r="N16" s="126"/>
      <c r="O16" s="126"/>
      <c r="P16" s="126"/>
      <c r="Q16" s="126"/>
      <c r="R16" s="126"/>
    </row>
    <row r="17" spans="1:18" ht="15.45" customHeight="1" x14ac:dyDescent="0.2">
      <c r="A17" s="137"/>
      <c r="B17" s="228" t="s">
        <v>954</v>
      </c>
      <c r="C17" s="228"/>
      <c r="D17" s="228"/>
      <c r="E17" s="228"/>
      <c r="F17" s="126"/>
      <c r="G17" s="126"/>
      <c r="H17" s="126"/>
      <c r="I17" s="126"/>
      <c r="J17" s="126"/>
      <c r="K17" s="126" t="s">
        <v>586</v>
      </c>
      <c r="L17" s="126"/>
      <c r="M17" s="126"/>
      <c r="N17" s="126"/>
      <c r="O17" s="126"/>
      <c r="P17" s="126"/>
      <c r="Q17" s="126"/>
      <c r="R17" s="126"/>
    </row>
    <row r="18" spans="1:18" ht="15.45" customHeight="1" x14ac:dyDescent="0.2">
      <c r="A18" s="137"/>
      <c r="B18" s="228" t="s">
        <v>955</v>
      </c>
      <c r="C18" s="228"/>
      <c r="D18" s="228"/>
      <c r="E18" s="228"/>
      <c r="F18" s="126"/>
      <c r="G18" s="126"/>
      <c r="H18" s="126"/>
      <c r="I18" s="126"/>
      <c r="J18" s="126"/>
      <c r="K18" s="126"/>
      <c r="L18" s="126" t="s">
        <v>586</v>
      </c>
      <c r="M18" s="126"/>
      <c r="N18" s="126"/>
      <c r="O18" s="126"/>
      <c r="P18" s="126"/>
      <c r="Q18" s="126"/>
      <c r="R18" s="126"/>
    </row>
    <row r="19" spans="1:18" ht="15.45" customHeight="1" x14ac:dyDescent="0.2">
      <c r="A19" s="137"/>
      <c r="B19" s="228" t="s">
        <v>956</v>
      </c>
      <c r="C19" s="228"/>
      <c r="D19" s="228"/>
      <c r="E19" s="228"/>
      <c r="F19" s="126"/>
      <c r="G19" s="126"/>
      <c r="H19" s="126"/>
      <c r="I19" s="126"/>
      <c r="J19" s="126"/>
      <c r="K19" s="126"/>
      <c r="L19" s="126"/>
      <c r="M19" s="126" t="s">
        <v>586</v>
      </c>
      <c r="N19" s="126"/>
      <c r="O19" s="126"/>
      <c r="P19" s="126"/>
      <c r="Q19" s="126"/>
      <c r="R19" s="126"/>
    </row>
    <row r="20" spans="1:18" ht="28.95" customHeight="1" x14ac:dyDescent="0.2">
      <c r="A20" s="137"/>
      <c r="B20" s="228" t="s">
        <v>957</v>
      </c>
      <c r="C20" s="228"/>
      <c r="D20" s="228"/>
      <c r="E20" s="228"/>
      <c r="F20" s="126"/>
      <c r="G20" s="126"/>
      <c r="H20" s="126"/>
      <c r="I20" s="126"/>
      <c r="J20" s="126"/>
      <c r="K20" s="126"/>
      <c r="L20" s="126"/>
      <c r="M20" s="126"/>
      <c r="N20" s="126" t="s">
        <v>586</v>
      </c>
      <c r="O20" s="126"/>
      <c r="P20" s="126"/>
      <c r="Q20" s="126"/>
      <c r="R20" s="126"/>
    </row>
    <row r="21" spans="1:18" ht="15.45" customHeight="1" x14ac:dyDescent="0.2">
      <c r="A21" s="137"/>
      <c r="B21" s="228" t="s">
        <v>958</v>
      </c>
      <c r="C21" s="228"/>
      <c r="D21" s="228"/>
      <c r="E21" s="228"/>
      <c r="F21" s="126"/>
      <c r="G21" s="126"/>
      <c r="H21" s="126"/>
      <c r="I21" s="126"/>
      <c r="J21" s="126"/>
      <c r="K21" s="126"/>
      <c r="L21" s="126"/>
      <c r="M21" s="126"/>
      <c r="N21" s="126"/>
      <c r="O21" s="126" t="s">
        <v>586</v>
      </c>
      <c r="P21" s="126"/>
      <c r="Q21" s="126"/>
      <c r="R21" s="126"/>
    </row>
    <row r="22" spans="1:18" ht="28.95" customHeight="1" x14ac:dyDescent="0.2">
      <c r="A22" s="137"/>
      <c r="B22" s="228" t="s">
        <v>959</v>
      </c>
      <c r="C22" s="228"/>
      <c r="D22" s="228"/>
      <c r="E22" s="228"/>
      <c r="F22" s="126"/>
      <c r="G22" s="126"/>
      <c r="H22" s="126"/>
      <c r="I22" s="126"/>
      <c r="J22" s="126"/>
      <c r="K22" s="141"/>
      <c r="L22" s="126"/>
      <c r="M22" s="126"/>
      <c r="N22" s="126"/>
      <c r="O22" s="126"/>
      <c r="P22" s="126" t="s">
        <v>586</v>
      </c>
      <c r="Q22" s="126"/>
      <c r="R22" s="126"/>
    </row>
    <row r="23" spans="1:18" ht="28.95" customHeight="1" x14ac:dyDescent="0.2">
      <c r="A23" s="137"/>
      <c r="B23" s="228" t="s">
        <v>960</v>
      </c>
      <c r="C23" s="228"/>
      <c r="D23" s="228"/>
      <c r="E23" s="228"/>
      <c r="F23" s="126"/>
      <c r="G23" s="126"/>
      <c r="H23" s="126"/>
      <c r="I23" s="126"/>
      <c r="J23" s="126"/>
      <c r="K23" s="126"/>
      <c r="L23" s="126"/>
      <c r="M23" s="126"/>
      <c r="N23" s="126"/>
      <c r="O23" s="126"/>
      <c r="P23" s="126"/>
      <c r="Q23" s="126" t="s">
        <v>586</v>
      </c>
      <c r="R23" s="126"/>
    </row>
    <row r="24" spans="1:18" ht="28.95" customHeight="1" x14ac:dyDescent="0.2">
      <c r="A24" s="137"/>
      <c r="B24" s="228" t="s">
        <v>961</v>
      </c>
      <c r="C24" s="228"/>
      <c r="D24" s="228"/>
      <c r="E24" s="228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 t="s">
        <v>586</v>
      </c>
    </row>
    <row r="25" spans="1:18" ht="13.2" customHeight="1" x14ac:dyDescent="0.2">
      <c r="A25" s="137"/>
      <c r="B25" s="138"/>
      <c r="C25" s="143"/>
      <c r="D25" s="148"/>
      <c r="E25" s="135"/>
      <c r="F25" s="141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</row>
    <row r="26" spans="1:18" ht="28.95" customHeight="1" x14ac:dyDescent="0.2">
      <c r="A26" s="131" t="s">
        <v>595</v>
      </c>
      <c r="B26" s="138" t="s">
        <v>596</v>
      </c>
      <c r="C26" s="143"/>
      <c r="D26" s="148"/>
      <c r="E26" s="135"/>
      <c r="F26" s="145"/>
      <c r="G26" s="145"/>
      <c r="H26" s="145"/>
      <c r="I26" s="145"/>
      <c r="J26" s="145"/>
      <c r="K26" s="145"/>
      <c r="L26" s="182"/>
      <c r="M26" s="145"/>
      <c r="N26" s="145"/>
      <c r="O26" s="145"/>
      <c r="P26" s="145"/>
      <c r="Q26" s="145"/>
      <c r="R26" s="145"/>
    </row>
    <row r="27" spans="1:18" ht="28.95" customHeight="1" x14ac:dyDescent="0.2">
      <c r="A27" s="137"/>
      <c r="B27" s="229" t="s">
        <v>962</v>
      </c>
      <c r="C27" s="229"/>
      <c r="D27" s="229"/>
      <c r="E27" s="229"/>
      <c r="F27" s="126" t="s">
        <v>586</v>
      </c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</row>
    <row r="28" spans="1:18" ht="28.95" customHeight="1" x14ac:dyDescent="0.2">
      <c r="A28" s="137"/>
      <c r="B28" s="228" t="s">
        <v>963</v>
      </c>
      <c r="C28" s="228"/>
      <c r="D28" s="228"/>
      <c r="E28" s="228"/>
      <c r="F28" s="126"/>
      <c r="G28" s="126" t="s">
        <v>586</v>
      </c>
      <c r="H28" s="126"/>
      <c r="I28" s="141"/>
      <c r="J28" s="126"/>
      <c r="K28" s="126"/>
      <c r="L28" s="141"/>
      <c r="M28" s="126"/>
      <c r="N28" s="126"/>
      <c r="O28" s="126"/>
      <c r="P28" s="126"/>
      <c r="Q28" s="126"/>
      <c r="R28" s="126"/>
    </row>
    <row r="29" spans="1:18" ht="28.95" customHeight="1" x14ac:dyDescent="0.2">
      <c r="A29" s="137"/>
      <c r="B29" s="228" t="s">
        <v>964</v>
      </c>
      <c r="C29" s="228"/>
      <c r="D29" s="228"/>
      <c r="E29" s="228"/>
      <c r="F29" s="126"/>
      <c r="G29" s="126"/>
      <c r="H29" s="126" t="s">
        <v>586</v>
      </c>
      <c r="I29" s="126"/>
      <c r="J29" s="126"/>
      <c r="K29" s="126"/>
      <c r="L29" s="126"/>
      <c r="M29" s="126"/>
      <c r="N29" s="126"/>
      <c r="O29" s="126"/>
      <c r="P29" s="126"/>
      <c r="Q29" s="126"/>
      <c r="R29" s="126"/>
    </row>
    <row r="30" spans="1:18" ht="28.95" customHeight="1" x14ac:dyDescent="0.2">
      <c r="A30" s="137"/>
      <c r="B30" s="232" t="s">
        <v>965</v>
      </c>
      <c r="C30" s="232"/>
      <c r="D30" s="232"/>
      <c r="E30" s="232"/>
      <c r="F30" s="126"/>
      <c r="G30" s="126"/>
      <c r="H30" s="126"/>
      <c r="I30" s="126" t="s">
        <v>586</v>
      </c>
      <c r="J30" s="126"/>
      <c r="K30" s="126"/>
      <c r="L30" s="126"/>
      <c r="M30" s="126"/>
      <c r="N30" s="126"/>
      <c r="O30" s="126"/>
      <c r="P30" s="126"/>
      <c r="Q30" s="126"/>
      <c r="R30" s="126"/>
    </row>
    <row r="31" spans="1:18" ht="42.45" customHeight="1" x14ac:dyDescent="0.2">
      <c r="A31" s="137"/>
      <c r="B31" s="228" t="s">
        <v>966</v>
      </c>
      <c r="C31" s="228"/>
      <c r="D31" s="228"/>
      <c r="E31" s="228"/>
      <c r="F31" s="126"/>
      <c r="G31" s="126"/>
      <c r="H31" s="141"/>
      <c r="I31" s="126"/>
      <c r="J31" s="126" t="s">
        <v>586</v>
      </c>
      <c r="K31" s="126"/>
      <c r="L31" s="126"/>
      <c r="M31" s="126"/>
      <c r="N31" s="126"/>
      <c r="O31" s="126"/>
      <c r="P31" s="126"/>
      <c r="Q31" s="126"/>
      <c r="R31" s="126"/>
    </row>
    <row r="32" spans="1:18" ht="28.95" customHeight="1" x14ac:dyDescent="0.2">
      <c r="A32" s="137"/>
      <c r="B32" s="230" t="s">
        <v>967</v>
      </c>
      <c r="C32" s="230"/>
      <c r="D32" s="230"/>
      <c r="E32" s="230"/>
      <c r="F32" s="150"/>
      <c r="G32" s="150"/>
      <c r="H32" s="150"/>
      <c r="I32" s="126"/>
      <c r="J32" s="150"/>
      <c r="K32" s="150" t="s">
        <v>586</v>
      </c>
      <c r="L32" s="150"/>
      <c r="M32" s="126"/>
      <c r="N32" s="126"/>
      <c r="O32" s="150"/>
      <c r="P32" s="150"/>
      <c r="Q32" s="150"/>
      <c r="R32" s="150"/>
    </row>
    <row r="33" spans="1:18" ht="28.95" customHeight="1" x14ac:dyDescent="0.2">
      <c r="A33" s="137"/>
      <c r="B33" s="231" t="s">
        <v>968</v>
      </c>
      <c r="C33" s="231"/>
      <c r="D33" s="231"/>
      <c r="E33" s="231"/>
      <c r="F33" s="152"/>
      <c r="G33" s="152"/>
      <c r="H33" s="152"/>
      <c r="I33" s="153"/>
      <c r="J33" s="152"/>
      <c r="K33" s="152"/>
      <c r="L33" s="152" t="s">
        <v>586</v>
      </c>
      <c r="M33" s="153"/>
      <c r="N33" s="153"/>
      <c r="O33" s="152"/>
      <c r="P33" s="152"/>
      <c r="Q33" s="152"/>
      <c r="R33" s="152"/>
    </row>
    <row r="34" spans="1:18" ht="28.95" customHeight="1" x14ac:dyDescent="0.2">
      <c r="A34" s="137"/>
      <c r="B34" s="231" t="s">
        <v>969</v>
      </c>
      <c r="C34" s="231"/>
      <c r="D34" s="231"/>
      <c r="E34" s="231"/>
      <c r="F34" s="152"/>
      <c r="G34" s="152"/>
      <c r="H34" s="152"/>
      <c r="I34" s="153"/>
      <c r="J34" s="152"/>
      <c r="K34" s="152"/>
      <c r="L34" s="152"/>
      <c r="M34" s="153" t="s">
        <v>586</v>
      </c>
      <c r="N34" s="153"/>
      <c r="O34" s="152"/>
      <c r="P34" s="152"/>
      <c r="Q34" s="152"/>
      <c r="R34" s="152"/>
    </row>
    <row r="35" spans="1:18" ht="28.95" customHeight="1" x14ac:dyDescent="0.2">
      <c r="A35" s="137"/>
      <c r="B35" s="231" t="s">
        <v>970</v>
      </c>
      <c r="C35" s="231"/>
      <c r="D35" s="231"/>
      <c r="E35" s="231"/>
      <c r="F35" s="152"/>
      <c r="G35" s="152"/>
      <c r="H35" s="152"/>
      <c r="I35" s="153"/>
      <c r="J35" s="152"/>
      <c r="K35" s="152"/>
      <c r="L35" s="152"/>
      <c r="M35" s="153"/>
      <c r="N35" s="153" t="s">
        <v>586</v>
      </c>
      <c r="O35" s="152"/>
      <c r="P35" s="152"/>
      <c r="Q35" s="152"/>
      <c r="R35" s="152"/>
    </row>
    <row r="36" spans="1:18" ht="28.95" customHeight="1" x14ac:dyDescent="0.2">
      <c r="A36" s="161"/>
      <c r="B36" s="233" t="s">
        <v>971</v>
      </c>
      <c r="C36" s="233"/>
      <c r="D36" s="233"/>
      <c r="E36" s="233"/>
      <c r="F36" s="153"/>
      <c r="G36" s="153"/>
      <c r="H36" s="153"/>
      <c r="I36" s="153"/>
      <c r="J36" s="153"/>
      <c r="K36" s="153"/>
      <c r="L36" s="153"/>
      <c r="M36" s="153"/>
      <c r="N36" s="153"/>
      <c r="O36" s="153" t="s">
        <v>586</v>
      </c>
      <c r="P36" s="153"/>
      <c r="Q36" s="153"/>
      <c r="R36" s="153"/>
    </row>
    <row r="37" spans="1:18" ht="28.95" customHeight="1" x14ac:dyDescent="0.2">
      <c r="A37" s="163"/>
      <c r="B37" s="234" t="s">
        <v>972</v>
      </c>
      <c r="C37" s="234"/>
      <c r="D37" s="234"/>
      <c r="E37" s="234"/>
      <c r="F37" s="126"/>
      <c r="G37" s="126"/>
      <c r="H37" s="126"/>
      <c r="I37" s="126"/>
      <c r="J37" s="126"/>
      <c r="K37" s="126"/>
      <c r="L37" s="126"/>
      <c r="M37" s="126"/>
      <c r="N37" s="126"/>
      <c r="O37" s="126"/>
      <c r="P37" s="126" t="s">
        <v>586</v>
      </c>
      <c r="Q37" s="126"/>
      <c r="R37" s="126"/>
    </row>
    <row r="38" spans="1:18" ht="42.45" customHeight="1" x14ac:dyDescent="0.2">
      <c r="A38" s="163"/>
      <c r="B38" s="234" t="s">
        <v>973</v>
      </c>
      <c r="C38" s="234"/>
      <c r="D38" s="234"/>
      <c r="E38" s="234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 t="s">
        <v>586</v>
      </c>
      <c r="R38" s="126"/>
    </row>
    <row r="39" spans="1:18" ht="42.45" customHeight="1" x14ac:dyDescent="0.2">
      <c r="A39" s="163"/>
      <c r="B39" s="234" t="s">
        <v>974</v>
      </c>
      <c r="C39" s="234"/>
      <c r="D39" s="234"/>
      <c r="E39" s="234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 t="s">
        <v>586</v>
      </c>
    </row>
    <row r="40" spans="1:18" ht="14.25" customHeight="1" x14ac:dyDescent="0.2">
      <c r="A40" s="163"/>
      <c r="B40" s="164"/>
      <c r="C40" s="142"/>
      <c r="D40" s="142"/>
      <c r="E40" s="142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</row>
    <row r="41" spans="1:18" ht="15.45" customHeight="1" x14ac:dyDescent="0.25">
      <c r="A41" s="131" t="s">
        <v>564</v>
      </c>
      <c r="B41" s="234" t="s">
        <v>605</v>
      </c>
      <c r="C41" s="234"/>
      <c r="D41" s="234"/>
      <c r="E41" s="181"/>
      <c r="F41" s="126" t="s">
        <v>554</v>
      </c>
      <c r="G41" s="126" t="s">
        <v>554</v>
      </c>
      <c r="H41" s="126" t="s">
        <v>554</v>
      </c>
      <c r="I41" s="126" t="s">
        <v>554</v>
      </c>
      <c r="J41" s="126" t="s">
        <v>555</v>
      </c>
      <c r="K41" s="126" t="s">
        <v>554</v>
      </c>
      <c r="L41" s="126" t="s">
        <v>556</v>
      </c>
      <c r="M41" s="126" t="s">
        <v>556</v>
      </c>
      <c r="N41" s="126" t="s">
        <v>554</v>
      </c>
      <c r="O41" s="126" t="s">
        <v>556</v>
      </c>
      <c r="P41" s="126" t="s">
        <v>554</v>
      </c>
      <c r="Q41" s="126" t="s">
        <v>554</v>
      </c>
      <c r="R41" s="126" t="s">
        <v>554</v>
      </c>
    </row>
    <row r="42" spans="1:18" ht="15.45" customHeight="1" x14ac:dyDescent="0.2">
      <c r="A42" s="163"/>
      <c r="B42" s="234" t="s">
        <v>606</v>
      </c>
      <c r="C42" s="234"/>
      <c r="D42" s="234"/>
      <c r="E42" s="142"/>
      <c r="F42" s="126" t="s">
        <v>607</v>
      </c>
      <c r="G42" s="126" t="s">
        <v>607</v>
      </c>
      <c r="H42" s="126" t="s">
        <v>607</v>
      </c>
      <c r="I42" s="126" t="s">
        <v>607</v>
      </c>
      <c r="J42" s="126" t="s">
        <v>607</v>
      </c>
      <c r="K42" s="126" t="s">
        <v>607</v>
      </c>
      <c r="L42" s="126" t="s">
        <v>607</v>
      </c>
      <c r="M42" s="126" t="s">
        <v>607</v>
      </c>
      <c r="N42" s="126" t="s">
        <v>607</v>
      </c>
      <c r="O42" s="126" t="s">
        <v>607</v>
      </c>
      <c r="P42" s="126" t="s">
        <v>607</v>
      </c>
      <c r="Q42" s="126" t="s">
        <v>607</v>
      </c>
      <c r="R42" s="126" t="s">
        <v>607</v>
      </c>
    </row>
    <row r="43" spans="1:18" ht="28.95" customHeight="1" x14ac:dyDescent="0.2">
      <c r="A43" s="163"/>
      <c r="B43" s="234" t="s">
        <v>608</v>
      </c>
      <c r="C43" s="234"/>
      <c r="D43" s="234"/>
      <c r="E43" s="142"/>
      <c r="F43" s="126" t="s">
        <v>609</v>
      </c>
      <c r="G43" s="126" t="s">
        <v>609</v>
      </c>
      <c r="H43" s="126" t="s">
        <v>609</v>
      </c>
      <c r="I43" s="126" t="s">
        <v>609</v>
      </c>
      <c r="J43" s="126" t="s">
        <v>609</v>
      </c>
      <c r="K43" s="126" t="s">
        <v>609</v>
      </c>
      <c r="L43" s="126" t="s">
        <v>609</v>
      </c>
      <c r="M43" s="126" t="s">
        <v>609</v>
      </c>
      <c r="N43" s="126" t="s">
        <v>609</v>
      </c>
      <c r="O43" s="126" t="s">
        <v>609</v>
      </c>
      <c r="P43" s="126" t="s">
        <v>609</v>
      </c>
      <c r="Q43" s="126" t="s">
        <v>609</v>
      </c>
      <c r="R43" s="126" t="s">
        <v>609</v>
      </c>
    </row>
    <row r="44" spans="1:18" ht="15.45" customHeight="1" x14ac:dyDescent="0.2">
      <c r="A44" s="163"/>
      <c r="B44" s="234" t="s">
        <v>610</v>
      </c>
      <c r="C44" s="234"/>
      <c r="D44" s="234"/>
      <c r="E44" s="142"/>
      <c r="F44" s="126"/>
      <c r="G44" s="141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</row>
  </sheetData>
  <autoFilter ref="F9:R44" xr:uid="{00000000-0009-0000-0000-00000C000000}"/>
  <mergeCells count="53">
    <mergeCell ref="B39:E39"/>
    <mergeCell ref="B41:D41"/>
    <mergeCell ref="B42:D42"/>
    <mergeCell ref="B43:D43"/>
    <mergeCell ref="B44:D44"/>
    <mergeCell ref="B34:E34"/>
    <mergeCell ref="B35:E35"/>
    <mergeCell ref="B36:E36"/>
    <mergeCell ref="B37:E37"/>
    <mergeCell ref="B38:E38"/>
    <mergeCell ref="B29:E29"/>
    <mergeCell ref="B30:E30"/>
    <mergeCell ref="B31:E31"/>
    <mergeCell ref="B32:E32"/>
    <mergeCell ref="B33:E33"/>
    <mergeCell ref="B22:E22"/>
    <mergeCell ref="B23:E23"/>
    <mergeCell ref="B24:E24"/>
    <mergeCell ref="B27:E27"/>
    <mergeCell ref="B28:E28"/>
    <mergeCell ref="B17:E17"/>
    <mergeCell ref="B18:E18"/>
    <mergeCell ref="B19:E19"/>
    <mergeCell ref="B20:E20"/>
    <mergeCell ref="B21:E21"/>
    <mergeCell ref="B12:E12"/>
    <mergeCell ref="B13:E13"/>
    <mergeCell ref="B14:E14"/>
    <mergeCell ref="B15:E15"/>
    <mergeCell ref="B16:E16"/>
    <mergeCell ref="A7:B7"/>
    <mergeCell ref="C7:E7"/>
    <mergeCell ref="F7:K7"/>
    <mergeCell ref="O7:R7"/>
    <mergeCell ref="B11:E11"/>
    <mergeCell ref="A6:B6"/>
    <mergeCell ref="C6:E6"/>
    <mergeCell ref="F6:K6"/>
    <mergeCell ref="L6:N6"/>
    <mergeCell ref="O6:R6"/>
    <mergeCell ref="A4:E4"/>
    <mergeCell ref="F4:K4"/>
    <mergeCell ref="L4:R4"/>
    <mergeCell ref="A5:B5"/>
    <mergeCell ref="C5:R5"/>
    <mergeCell ref="A2:B2"/>
    <mergeCell ref="C2:E2"/>
    <mergeCell ref="F2:K2"/>
    <mergeCell ref="L2:R2"/>
    <mergeCell ref="A3:B3"/>
    <mergeCell ref="C3:E3"/>
    <mergeCell ref="F3:K3"/>
    <mergeCell ref="L3:R3"/>
  </mergeCells>
  <pageMargins left="0.25" right="0.25" top="1" bottom="1" header="0.5" footer="0.5"/>
  <pageSetup fitToHeight="0"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Guidleline</vt:lpstr>
      <vt:lpstr>Cover</vt:lpstr>
      <vt:lpstr>FunctionList</vt:lpstr>
      <vt:lpstr>Test Report</vt:lpstr>
      <vt:lpstr>Mentor_Application</vt:lpstr>
      <vt:lpstr>Availability_Schedule</vt:lpstr>
      <vt:lpstr>Profile_Management</vt:lpstr>
      <vt:lpstr>Package_Management</vt:lpstr>
      <vt:lpstr>Dashboard_Overview</vt:lpstr>
      <vt:lpstr>Request_Approval</vt:lpstr>
      <vt:lpstr>Workspace_Management</vt:lpstr>
      <vt:lpstr>Wallet_Payout</vt:lpstr>
      <vt:lpstr>Review_Feedback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2026-10-17T09:28:16Z</dcterms:created>
  <dcterms:modified xsi:type="dcterms:W3CDTF">2026-10-20T06:44:49Z</dcterms:modified>
</cp:coreProperties>
</file>